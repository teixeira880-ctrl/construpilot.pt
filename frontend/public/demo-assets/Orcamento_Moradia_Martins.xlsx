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çamento" sheetId="1" state="visible" r:id="rId1"/>
    <sheet xmlns:r="http://schemas.openxmlformats.org/officeDocument/2006/relationships" name="Medições da estrutura" sheetId="2" state="visible" r:id="rId2"/>
    <sheet xmlns:r="http://schemas.openxmlformats.org/officeDocument/2006/relationships" name="Lintéis e pilares" sheetId="3" state="visible" r:id="rId3"/>
    <sheet xmlns:r="http://schemas.openxmlformats.org/officeDocument/2006/relationships" name="Eletricidade" sheetId="4" state="visible" r:id="rId4"/>
    <sheet xmlns:r="http://schemas.openxmlformats.org/officeDocument/2006/relationships" name="Águas e esgo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 €"/>
    <numFmt numFmtId="166" formatCode="#,##0 €"/>
  </numFmts>
  <fonts count="7">
    <font>
      <name val="Calibri"/>
      <family val="2"/>
      <color theme="1"/>
      <sz val="11"/>
      <scheme val="minor"/>
    </font>
    <font>
      <name val="Arial"/>
      <b val="1"/>
      <color rgb="00203B2D"/>
      <sz val="14"/>
    </font>
    <font>
      <name val="Arial"/>
      <sz val="10"/>
    </font>
    <font>
      <name val="Arial"/>
      <i val="1"/>
      <sz val="9"/>
    </font>
    <font>
      <name val="Arial"/>
      <color rgb="000000FF"/>
      <sz val="10"/>
    </font>
    <font>
      <name val="Arial"/>
      <b val="1"/>
      <color rgb="00FFFFFF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03B2D"/>
      </patternFill>
    </fill>
    <fill>
      <patternFill patternType="solid">
        <fgColor rgb="00E9EBE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0" pivotButton="0" quotePrefix="0" xfId="0"/>
    <xf numFmtId="0" fontId="0" fillId="3" borderId="0" pivotButton="0" quotePrefix="0" xfId="0"/>
    <xf numFmtId="0" fontId="2" fillId="0" borderId="1" pivotButton="0" quotePrefix="0" xfId="0"/>
    <xf numFmtId="4" fontId="2" fillId="0" borderId="1" pivotButton="0" quotePrefix="0" xfId="0"/>
    <xf numFmtId="165" fontId="4" fillId="0" borderId="1" pivotButton="0" quotePrefix="0" xfId="0"/>
    <xf numFmtId="165" fontId="2" fillId="0" borderId="1" pivotButton="0" quotePrefix="0" xfId="0"/>
    <xf numFmtId="0" fontId="6" fillId="0" borderId="0" pivotButton="0" quotePrefix="0" xfId="0"/>
    <xf numFmtId="165" fontId="2" fillId="0" borderId="0" pivotButton="0" quotePrefix="0" xfId="0"/>
    <xf numFmtId="165" fontId="6" fillId="0" borderId="0" pivotButton="0" quotePrefix="0" xfId="0"/>
    <xf numFmtId="166" fontId="2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92" customWidth="1" min="2" max="2"/>
    <col width="8" customWidth="1" min="3" max="3"/>
    <col width="12" customWidth="1" min="4" max="4"/>
    <col width="13" customWidth="1" min="5" max="5"/>
    <col width="16" customWidth="1" min="6" max="6"/>
  </cols>
  <sheetData>
    <row r="1">
      <c r="A1" s="1" t="inlineStr">
        <is>
          <t>ORÇAMENTO ESTIMATIVO — Moradia Martins</t>
        </is>
      </c>
    </row>
    <row r="2">
      <c r="A2" s="2" t="inlineStr">
        <is>
          <t>Rua das Oliveiras 12, 1700 Lisboa — quantidades retiradas do processo de estudo ConstruPilot (pré-dimensionamento)</t>
        </is>
      </c>
    </row>
    <row r="3">
      <c r="A3" s="3" t="inlineStr">
        <is>
          <t>Células azuis = preços unitários indicativos Portugal 2026 sem IVA (fornecimento e aplicação), a substituir pela base de preços da empresa. Todas as outras células são fórmulas.</t>
        </is>
      </c>
    </row>
    <row r="4">
      <c r="A4" t="inlineStr">
        <is>
          <t>Taxa de IVA</t>
        </is>
      </c>
      <c r="B4" s="4" t="n">
        <v>0.23</v>
      </c>
      <c r="C4" s="3" t="inlineStr">
        <is>
          <t>IVA 23 % (taxa normal ; a taxa reduzida de 6 % pode aplicar-se a certas empreitadas de habitação — confirmar com o contabilista)</t>
        </is>
      </c>
    </row>
    <row r="5"/>
    <row r="6">
      <c r="A6" s="5" t="inlineStr">
        <is>
          <t>Capítulo</t>
        </is>
      </c>
      <c r="B6" s="5" t="inlineStr">
        <is>
          <t>Designação</t>
        </is>
      </c>
      <c r="C6" s="5" t="inlineStr">
        <is>
          <t>Unidade</t>
        </is>
      </c>
      <c r="D6" s="5" t="inlineStr">
        <is>
          <t>Quantidade</t>
        </is>
      </c>
      <c r="E6" s="5" t="inlineStr">
        <is>
          <t>P. unit. € s/ IVA</t>
        </is>
      </c>
      <c r="F6" s="5" t="inlineStr">
        <is>
          <t>Total € s/ IVA</t>
        </is>
      </c>
    </row>
    <row r="7">
      <c r="A7" s="6" t="inlineStr">
        <is>
          <t>01 — Estaleiro, estudos, movimento de terras</t>
        </is>
      </c>
      <c r="B7" s="7" t="n"/>
      <c r="C7" s="7" t="n"/>
      <c r="D7" s="7" t="n"/>
      <c r="E7" s="7" t="n"/>
      <c r="F7" s="7" t="n"/>
    </row>
    <row r="8">
      <c r="A8" s="8" t="inlineStr">
        <is>
          <t>L01</t>
        </is>
      </c>
      <c r="B8" s="8" t="inlineStr">
        <is>
          <t>Montagem do estaleiro, vedação, instalações de pessoal, placa de obra</t>
        </is>
      </c>
      <c r="C8" s="8" t="inlineStr">
        <is>
          <t>vg</t>
        </is>
      </c>
      <c r="D8" s="9" t="n">
        <v>1</v>
      </c>
      <c r="E8" s="10" t="n">
        <v>3500</v>
      </c>
      <c r="F8" s="11">
        <f>D8*E8</f>
        <v/>
      </c>
    </row>
    <row r="9">
      <c r="A9" s="8" t="inlineStr">
        <is>
          <t>L01</t>
        </is>
      </c>
      <c r="B9" s="8" t="inlineStr">
        <is>
          <t>Estudo geotécnico de projeto (geotecnista)</t>
        </is>
      </c>
      <c r="C9" s="8" t="inlineStr">
        <is>
          <t>vg</t>
        </is>
      </c>
      <c r="D9" s="9" t="n">
        <v>1</v>
      </c>
      <c r="E9" s="10" t="n">
        <v>1500</v>
      </c>
      <c r="F9" s="11">
        <f>D9*E9</f>
        <v/>
      </c>
    </row>
    <row r="10">
      <c r="A10" s="8" t="inlineStr">
        <is>
          <t>L01</t>
        </is>
      </c>
      <c r="B10" s="8" t="inlineStr">
        <is>
          <t>Projeto de estruturas e termo de responsabilidade do engenheiro (assinatura do processo)</t>
        </is>
      </c>
      <c r="C10" s="8" t="inlineStr">
        <is>
          <t>vg</t>
        </is>
      </c>
      <c r="D10" s="9" t="n">
        <v>1</v>
      </c>
      <c r="E10" s="10" t="n">
        <v>2400</v>
      </c>
      <c r="F10" s="11">
        <f>D10*E10</f>
        <v/>
      </c>
    </row>
    <row r="11">
      <c r="A11" s="8" t="inlineStr">
        <is>
          <t>L01</t>
        </is>
      </c>
      <c r="B11" s="8" t="inlineStr">
        <is>
          <t>Decapagem da terra vegetal (30 cm) na área de implantação + 1 m</t>
        </is>
      </c>
      <c r="C11" s="8" t="inlineStr">
        <is>
          <t>m³</t>
        </is>
      </c>
      <c r="D11" s="9" t="n">
        <v>39.17</v>
      </c>
      <c r="E11" s="10" t="n">
        <v>4</v>
      </c>
      <c r="F11" s="11">
        <f>D11*E11</f>
        <v/>
      </c>
    </row>
    <row r="12">
      <c r="A12" s="8" t="inlineStr">
        <is>
          <t>L01</t>
        </is>
      </c>
      <c r="B12" s="8" t="inlineStr">
        <is>
          <t>Abertura de valas para as sapatas</t>
        </is>
      </c>
      <c r="C12" s="8" t="inlineStr">
        <is>
          <t>m³</t>
        </is>
      </c>
      <c r="D12" s="9" t="n">
        <v>6.33</v>
      </c>
      <c r="E12" s="10" t="n">
        <v>18</v>
      </c>
      <c r="F12" s="11">
        <f>D12*E12</f>
        <v/>
      </c>
    </row>
    <row r="13">
      <c r="A13" s="8" t="inlineStr">
        <is>
          <t>L01</t>
        </is>
      </c>
      <c r="B13" s="8" t="inlineStr">
        <is>
          <t>Transporte de terras a vazadouro (empolamento 1,25)</t>
        </is>
      </c>
      <c r="C13" s="8" t="inlineStr">
        <is>
          <t>m³</t>
        </is>
      </c>
      <c r="D13" s="9" t="n">
        <v>56.87</v>
      </c>
      <c r="E13" s="10" t="n">
        <v>14</v>
      </c>
      <c r="F13" s="11">
        <f>D13*E13</f>
        <v/>
      </c>
    </row>
    <row r="14">
      <c r="A14" s="6" t="inlineStr">
        <is>
          <t>02 — Fundações e laje térrea</t>
        </is>
      </c>
      <c r="B14" s="7" t="n"/>
      <c r="C14" s="7" t="n"/>
      <c r="D14" s="7" t="n"/>
      <c r="E14" s="7" t="n"/>
      <c r="F14" s="7" t="n"/>
    </row>
    <row r="15">
      <c r="A15" s="8" t="inlineStr">
        <is>
          <t>L02</t>
        </is>
      </c>
      <c r="B15" s="8" t="inlineStr">
        <is>
          <t>Sapata contínua sob Alçado lateral esquerdo (Nascente) B = 0,50 × h = 0,30</t>
        </is>
      </c>
      <c r="C15" s="8" t="inlineStr">
        <is>
          <t>m³</t>
        </is>
      </c>
      <c r="D15" s="9" t="n">
        <v>1.74</v>
      </c>
      <c r="E15" s="10" t="n">
        <v>210</v>
      </c>
      <c r="F15" s="11">
        <f>D15*E15</f>
        <v/>
      </c>
    </row>
    <row r="16">
      <c r="A16" s="8" t="inlineStr">
        <is>
          <t>L02</t>
        </is>
      </c>
      <c r="B16" s="8" t="inlineStr">
        <is>
          <t>Sapata contínua sob Alçado lateral direito (Poente) B = 0,50 × h = 0,30</t>
        </is>
      </c>
      <c r="C16" s="8" t="inlineStr">
        <is>
          <t>m³</t>
        </is>
      </c>
      <c r="D16" s="9" t="n">
        <v>1.74</v>
      </c>
      <c r="E16" s="10" t="n">
        <v>210</v>
      </c>
      <c r="F16" s="11">
        <f>D16*E16</f>
        <v/>
      </c>
    </row>
    <row r="17">
      <c r="A17" s="8" t="inlineStr">
        <is>
          <t>L02</t>
        </is>
      </c>
      <c r="B17" s="8" t="inlineStr">
        <is>
          <t>Sapata contínua sob Alçado posterior (Sul) B = 0,50 × h = 0,30</t>
        </is>
      </c>
      <c r="C17" s="8" t="inlineStr">
        <is>
          <t>m³</t>
        </is>
      </c>
      <c r="D17" s="9" t="n">
        <v>1.08</v>
      </c>
      <c r="E17" s="10" t="n">
        <v>210</v>
      </c>
      <c r="F17" s="11">
        <f>D17*E17</f>
        <v/>
      </c>
    </row>
    <row r="18">
      <c r="A18" s="8" t="inlineStr">
        <is>
          <t>L02</t>
        </is>
      </c>
      <c r="B18" s="8" t="inlineStr">
        <is>
          <t>Sapata contínua sob Alçado principal (Norte) B = 0,50 × h = 0,30</t>
        </is>
      </c>
      <c r="C18" s="8" t="inlineStr">
        <is>
          <t>m³</t>
        </is>
      </c>
      <c r="D18" s="9" t="n">
        <v>1.08</v>
      </c>
      <c r="E18" s="10" t="n">
        <v>210</v>
      </c>
      <c r="F18" s="11">
        <f>D18*E18</f>
        <v/>
      </c>
    </row>
    <row r="19">
      <c r="A19" s="8" t="inlineStr">
        <is>
          <t>L02</t>
        </is>
      </c>
      <c r="B19" s="8" t="inlineStr">
        <is>
          <t>Sapatas sob as paredes da caixa de escada B = 0,50 × h = 0,30</t>
        </is>
      </c>
      <c r="C19" s="8" t="inlineStr">
        <is>
          <t>m³</t>
        </is>
      </c>
      <c r="D19" s="9" t="n">
        <v>0.6899999999999999</v>
      </c>
      <c r="E19" s="10" t="n">
        <v>210</v>
      </c>
      <c r="F19" s="11">
        <f>D19*E19</f>
        <v/>
      </c>
    </row>
    <row r="20">
      <c r="A20" s="8" t="inlineStr">
        <is>
          <t>L02</t>
        </is>
      </c>
      <c r="B20" s="8" t="inlineStr">
        <is>
          <t>Betão de limpeza 5 cm</t>
        </is>
      </c>
      <c r="C20" s="8" t="inlineStr">
        <is>
          <t>m²</t>
        </is>
      </c>
      <c r="D20" s="9" t="n">
        <v>21.1</v>
      </c>
      <c r="E20" s="10" t="n">
        <v>9</v>
      </c>
      <c r="F20" s="11">
        <f>D20*E20</f>
        <v/>
      </c>
    </row>
    <row r="21">
      <c r="A21" s="8" t="inlineStr">
        <is>
          <t>L02</t>
        </is>
      </c>
      <c r="B21" s="8" t="inlineStr">
        <is>
          <t>Tout-venant 0/31,5 compactado 20 cm + polietileno</t>
        </is>
      </c>
      <c r="C21" s="8" t="inlineStr">
        <is>
          <t>m²</t>
        </is>
      </c>
      <c r="D21" s="9" t="n">
        <v>80.64</v>
      </c>
      <c r="E21" s="10" t="n">
        <v>12</v>
      </c>
      <c r="F21" s="11">
        <f>D21*E21</f>
        <v/>
      </c>
    </row>
    <row r="22">
      <c r="A22" s="8" t="inlineStr">
        <is>
          <t>L02</t>
        </is>
      </c>
      <c r="B22" s="8" t="inlineStr">
        <is>
          <t>Laje térrea de BA 15 cm + 1 malha ST 25 C</t>
        </is>
      </c>
      <c r="C22" s="8" t="inlineStr">
        <is>
          <t>m³</t>
        </is>
      </c>
      <c r="D22" s="9" t="n">
        <v>12.1</v>
      </c>
      <c r="E22" s="10" t="n">
        <v>160</v>
      </c>
      <c r="F22" s="11">
        <f>D22*E22</f>
        <v/>
      </c>
    </row>
    <row r="23">
      <c r="A23" s="6" t="inlineStr">
        <is>
          <t>03 — Estrutura e alvenarias em elevação</t>
        </is>
      </c>
      <c r="B23" s="7" t="n"/>
      <c r="C23" s="7" t="n"/>
      <c r="D23" s="7" t="n"/>
      <c r="E23" s="7" t="n"/>
      <c r="F23" s="7" t="n"/>
    </row>
    <row r="24">
      <c r="A24" s="8" t="inlineStr">
        <is>
          <t>L03</t>
        </is>
      </c>
      <c r="B24" s="8" t="inlineStr">
        <is>
          <t>Paredes de BA 15 da caixa de escada (R/C → 1.º andar)</t>
        </is>
      </c>
      <c r="C24" s="8" t="inlineStr">
        <is>
          <t>m³</t>
        </is>
      </c>
      <c r="D24" s="9" t="n">
        <v>3.83</v>
      </c>
      <c r="E24" s="10" t="n">
        <v>420</v>
      </c>
      <c r="F24" s="11">
        <f>D24*E24</f>
        <v/>
      </c>
    </row>
    <row r="25">
      <c r="A25" s="8" t="inlineStr">
        <is>
          <t>L03</t>
        </is>
      </c>
      <c r="B25" s="8" t="inlineStr">
        <is>
          <t>Laje do teto do Rés-do-chão (pavimento do 1.º andar) — laje aligeirada de vigotas pré-esforçadas e abobadilhas de betão 25+5 — vigotas duplas (2 por nervura), afastamento 0,60</t>
        </is>
      </c>
      <c r="C25" s="8" t="inlineStr">
        <is>
          <t>m²</t>
        </is>
      </c>
      <c r="D25" s="9" t="n">
        <v>76.5</v>
      </c>
      <c r="E25" s="10" t="n">
        <v>48</v>
      </c>
      <c r="F25" s="11">
        <f>D25*E25</f>
        <v/>
      </c>
    </row>
    <row r="26">
      <c r="A26" s="8" t="inlineStr">
        <is>
          <t>L03</t>
        </is>
      </c>
      <c r="B26" s="8" t="inlineStr">
        <is>
          <t>Paredes de tijolo térmico 20 de junta delgada (alçados, R/C → beirado)</t>
        </is>
      </c>
      <c r="C26" s="8" t="inlineStr">
        <is>
          <t>m²</t>
        </is>
      </c>
      <c r="D26" s="9" t="n">
        <v>201.98</v>
      </c>
      <c r="E26" s="10" t="n">
        <v>38</v>
      </c>
      <c r="F26" s="11">
        <f>D26*E26</f>
        <v/>
      </c>
    </row>
    <row r="27">
      <c r="A27" s="8" t="inlineStr">
        <is>
          <t>L03</t>
        </is>
      </c>
      <c r="B27" s="8" t="inlineStr">
        <is>
          <t>Empenas de tijolo térmico 20 (triângulos beirado → cumeeira)</t>
        </is>
      </c>
      <c r="C27" s="8" t="inlineStr">
        <is>
          <t>m²</t>
        </is>
      </c>
      <c r="D27" s="9" t="n">
        <v>38.86</v>
      </c>
      <c r="E27" s="10" t="n">
        <v>42</v>
      </c>
      <c r="F27" s="11">
        <f>D27*E27</f>
        <v/>
      </c>
    </row>
    <row r="28">
      <c r="A28" s="8" t="inlineStr">
        <is>
          <t>L03</t>
        </is>
      </c>
      <c r="B28" s="8" t="inlineStr">
        <is>
          <t>Cintas horizontais 20 × 30 (2 pisos)</t>
        </is>
      </c>
      <c r="C28" s="8" t="inlineStr">
        <is>
          <t>m</t>
        </is>
      </c>
      <c r="D28" s="9" t="n">
        <v>76.8</v>
      </c>
      <c r="E28" s="10" t="n">
        <v>22</v>
      </c>
      <c r="F28" s="11">
        <f>D28*E28</f>
        <v/>
      </c>
    </row>
    <row r="29">
      <c r="A29" s="8" t="inlineStr">
        <is>
          <t>L03</t>
        </is>
      </c>
      <c r="B29" s="8" t="inlineStr">
        <is>
          <t>Pilaretes 20 × 20</t>
        </is>
      </c>
      <c r="C29" s="8" t="inlineStr">
        <is>
          <t>m</t>
        </is>
      </c>
      <c r="D29" s="9" t="n">
        <v>58.5</v>
      </c>
      <c r="E29" s="10" t="n">
        <v>20</v>
      </c>
      <c r="F29" s="11">
        <f>D29*E29</f>
        <v/>
      </c>
    </row>
    <row r="30">
      <c r="A30" s="8" t="inlineStr">
        <is>
          <t>L03</t>
        </is>
      </c>
      <c r="B30" s="8" t="inlineStr">
        <is>
          <t>Cintas inclinadas das empenas</t>
        </is>
      </c>
      <c r="C30" s="8" t="inlineStr">
        <is>
          <t>m</t>
        </is>
      </c>
      <c r="D30" s="9" t="n">
        <v>26.8</v>
      </c>
      <c r="E30" s="10" t="n">
        <v>24</v>
      </c>
      <c r="F30" s="11">
        <f>D30*E30</f>
        <v/>
      </c>
    </row>
    <row r="31">
      <c r="A31" s="8" t="inlineStr">
        <is>
          <t>L03</t>
        </is>
      </c>
      <c r="B31" s="8" t="inlineStr">
        <is>
          <t>Lintel L-RC-E1 0,20 × 0,30, L = 1,40</t>
        </is>
      </c>
      <c r="C31" s="8" t="inlineStr">
        <is>
          <t>m</t>
        </is>
      </c>
      <c r="D31" s="9" t="n">
        <v>1.4</v>
      </c>
      <c r="E31" s="10" t="n">
        <v>60</v>
      </c>
      <c r="F31" s="11">
        <f>D31*E31</f>
        <v/>
      </c>
    </row>
    <row r="32">
      <c r="A32" s="8" t="inlineStr">
        <is>
          <t>L03</t>
        </is>
      </c>
      <c r="B32" s="8" t="inlineStr">
        <is>
          <t>Lintel L-A1-E1 0,20 × 0,30, L = 1,40</t>
        </is>
      </c>
      <c r="C32" s="8" t="inlineStr">
        <is>
          <t>m</t>
        </is>
      </c>
      <c r="D32" s="9" t="n">
        <v>1.4</v>
      </c>
      <c r="E32" s="10" t="n">
        <v>60</v>
      </c>
      <c r="F32" s="11">
        <f>D32*E32</f>
        <v/>
      </c>
    </row>
    <row r="33">
      <c r="A33" s="8" t="inlineStr">
        <is>
          <t>L03</t>
        </is>
      </c>
      <c r="B33" s="8" t="inlineStr">
        <is>
          <t>Lintel L-RC-D1 0,20 × 0,30, L = 1,00</t>
        </is>
      </c>
      <c r="C33" s="8" t="inlineStr">
        <is>
          <t>m</t>
        </is>
      </c>
      <c r="D33" s="9" t="n">
        <v>1</v>
      </c>
      <c r="E33" s="10" t="n">
        <v>60</v>
      </c>
      <c r="F33" s="11">
        <f>D33*E33</f>
        <v/>
      </c>
    </row>
    <row r="34">
      <c r="A34" s="8" t="inlineStr">
        <is>
          <t>L03</t>
        </is>
      </c>
      <c r="B34" s="8" t="inlineStr">
        <is>
          <t>Lintel L-A1-D1 0,20 × 0,30, L = 1,30</t>
        </is>
      </c>
      <c r="C34" s="8" t="inlineStr">
        <is>
          <t>m</t>
        </is>
      </c>
      <c r="D34" s="9" t="n">
        <v>1.3</v>
      </c>
      <c r="E34" s="10" t="n">
        <v>60</v>
      </c>
      <c r="F34" s="11">
        <f>D34*E34</f>
        <v/>
      </c>
    </row>
    <row r="35">
      <c r="A35" s="8" t="inlineStr">
        <is>
          <t>L03</t>
        </is>
      </c>
      <c r="B35" s="8" t="inlineStr">
        <is>
          <t>Lintel L-RC-T1 0,20 × 0,35, L = 3,40</t>
        </is>
      </c>
      <c r="C35" s="8" t="inlineStr">
        <is>
          <t>m</t>
        </is>
      </c>
      <c r="D35" s="9" t="n">
        <v>3.4</v>
      </c>
      <c r="E35" s="10" t="n">
        <v>60</v>
      </c>
      <c r="F35" s="11">
        <f>D35*E35</f>
        <v/>
      </c>
    </row>
    <row r="36">
      <c r="A36" s="8" t="inlineStr">
        <is>
          <t>L03</t>
        </is>
      </c>
      <c r="B36" s="8" t="inlineStr">
        <is>
          <t>Lintel L-RC-T2 0,20 × 0,20, L = 1,80</t>
        </is>
      </c>
      <c r="C36" s="8" t="inlineStr">
        <is>
          <t>m</t>
        </is>
      </c>
      <c r="D36" s="9" t="n">
        <v>1.8</v>
      </c>
      <c r="E36" s="10" t="n">
        <v>60</v>
      </c>
      <c r="F36" s="11">
        <f>D36*E36</f>
        <v/>
      </c>
    </row>
    <row r="37">
      <c r="A37" s="8" t="inlineStr">
        <is>
          <t>L03</t>
        </is>
      </c>
      <c r="B37" s="8" t="inlineStr">
        <is>
          <t>Lintel L-A1-T1 0,20 × 0,20, L = 1,80</t>
        </is>
      </c>
      <c r="C37" s="8" t="inlineStr">
        <is>
          <t>m</t>
        </is>
      </c>
      <c r="D37" s="9" t="n">
        <v>1.8</v>
      </c>
      <c r="E37" s="10" t="n">
        <v>60</v>
      </c>
      <c r="F37" s="11">
        <f>D37*E37</f>
        <v/>
      </c>
    </row>
    <row r="38">
      <c r="A38" s="8" t="inlineStr">
        <is>
          <t>L03</t>
        </is>
      </c>
      <c r="B38" s="8" t="inlineStr">
        <is>
          <t>Lintel L-A1-T2 0,20 × 0,20, L = 1,80</t>
        </is>
      </c>
      <c r="C38" s="8" t="inlineStr">
        <is>
          <t>m</t>
        </is>
      </c>
      <c r="D38" s="9" t="n">
        <v>1.8</v>
      </c>
      <c r="E38" s="10" t="n">
        <v>60</v>
      </c>
      <c r="F38" s="11">
        <f>D38*E38</f>
        <v/>
      </c>
    </row>
    <row r="39">
      <c r="A39" s="8" t="inlineStr">
        <is>
          <t>L03</t>
        </is>
      </c>
      <c r="B39" s="8" t="inlineStr">
        <is>
          <t>Lintel L-RC-P1 0,20 × 0,20, L = 1,80</t>
        </is>
      </c>
      <c r="C39" s="8" t="inlineStr">
        <is>
          <t>m</t>
        </is>
      </c>
      <c r="D39" s="9" t="n">
        <v>1.8</v>
      </c>
      <c r="E39" s="10" t="n">
        <v>60</v>
      </c>
      <c r="F39" s="11">
        <f>D39*E39</f>
        <v/>
      </c>
    </row>
    <row r="40">
      <c r="A40" s="8" t="inlineStr">
        <is>
          <t>L03</t>
        </is>
      </c>
      <c r="B40" s="8" t="inlineStr">
        <is>
          <t>Lintel L-RC-P2 0,20 × 0,20, L = 1,40</t>
        </is>
      </c>
      <c r="C40" s="8" t="inlineStr">
        <is>
          <t>m</t>
        </is>
      </c>
      <c r="D40" s="9" t="n">
        <v>1.4</v>
      </c>
      <c r="E40" s="10" t="n">
        <v>60</v>
      </c>
      <c r="F40" s="11">
        <f>D40*E40</f>
        <v/>
      </c>
    </row>
    <row r="41">
      <c r="A41" s="8" t="inlineStr">
        <is>
          <t>L03</t>
        </is>
      </c>
      <c r="B41" s="8" t="inlineStr">
        <is>
          <t>Lintel L-A1-P1 0,20 × 0,20, L = 1,80</t>
        </is>
      </c>
      <c r="C41" s="8" t="inlineStr">
        <is>
          <t>m</t>
        </is>
      </c>
      <c r="D41" s="9" t="n">
        <v>1.8</v>
      </c>
      <c r="E41" s="10" t="n">
        <v>60</v>
      </c>
      <c r="F41" s="11">
        <f>D41*E41</f>
        <v/>
      </c>
    </row>
    <row r="42">
      <c r="A42" s="8" t="inlineStr">
        <is>
          <t>L03</t>
        </is>
      </c>
      <c r="B42" s="8" t="inlineStr">
        <is>
          <t>Lintel L-A1-P2 0,20 × 0,20, L = 1,80</t>
        </is>
      </c>
      <c r="C42" s="8" t="inlineStr">
        <is>
          <t>m</t>
        </is>
      </c>
      <c r="D42" s="9" t="n">
        <v>1.8</v>
      </c>
      <c r="E42" s="10" t="n">
        <v>60</v>
      </c>
      <c r="F42" s="11">
        <f>D42*E42</f>
        <v/>
      </c>
    </row>
    <row r="43">
      <c r="A43" s="8" t="inlineStr">
        <is>
          <t>L03</t>
        </is>
      </c>
      <c r="B43" s="8" t="inlineStr">
        <is>
          <t>Escada de betão com 2 patamares de ¼ (1 lanço R/C→1.º andar)</t>
        </is>
      </c>
      <c r="C43" s="8" t="inlineStr">
        <is>
          <t>un</t>
        </is>
      </c>
      <c r="D43" s="9" t="n">
        <v>1</v>
      </c>
      <c r="E43" s="10" t="n">
        <v>1800</v>
      </c>
      <c r="F43" s="11">
        <f>D43*E43</f>
        <v/>
      </c>
    </row>
    <row r="44">
      <c r="A44" s="8" t="inlineStr">
        <is>
          <t>L03</t>
        </is>
      </c>
      <c r="B44" s="8" t="inlineStr">
        <is>
          <t>Reboco monomassa raspado em todos os alçados e empenas</t>
        </is>
      </c>
      <c r="C44" s="8" t="inlineStr">
        <is>
          <t>m²</t>
        </is>
      </c>
      <c r="D44" s="9" t="n">
        <v>240.84</v>
      </c>
      <c r="E44" s="10" t="n">
        <v>16</v>
      </c>
      <c r="F44" s="11">
        <f>D44*E44</f>
        <v/>
      </c>
    </row>
    <row r="45">
      <c r="A45" s="6" t="inlineStr">
        <is>
          <t>04 — Estrutura da cobertura, revestimento, caleiras</t>
        </is>
      </c>
      <c r="B45" s="7" t="n"/>
      <c r="C45" s="7" t="n"/>
      <c r="D45" s="7" t="n"/>
      <c r="E45" s="7" t="n"/>
      <c r="F45" s="7" t="n"/>
    </row>
    <row r="46">
      <c r="A46" s="8" t="inlineStr">
        <is>
          <t>L04</t>
        </is>
      </c>
      <c r="B46" s="8" t="inlineStr">
        <is>
          <t>Madres de lamelado colado GL24h 100 × 240 (×5)</t>
        </is>
      </c>
      <c r="C46" s="8" t="inlineStr">
        <is>
          <t>m</t>
        </is>
      </c>
      <c r="D46" s="9" t="n">
        <v>20.25</v>
      </c>
      <c r="E46" s="10" t="n">
        <v>55</v>
      </c>
      <c r="F46" s="11">
        <f>D46*E46</f>
        <v/>
      </c>
    </row>
    <row r="47">
      <c r="A47" s="8" t="inlineStr">
        <is>
          <t>L04</t>
        </is>
      </c>
      <c r="B47" s="8" t="inlineStr">
        <is>
          <t>Coxins de BA de apoio das madres nas empenas</t>
        </is>
      </c>
      <c r="C47" s="8" t="inlineStr">
        <is>
          <t>un</t>
        </is>
      </c>
      <c r="D47" s="9" t="n">
        <v>12</v>
      </c>
      <c r="E47" s="10" t="n">
        <v>70</v>
      </c>
      <c r="F47" s="11">
        <f>D47*E47</f>
        <v/>
      </c>
    </row>
    <row r="48">
      <c r="A48" s="8" t="inlineStr">
        <is>
          <t>L04</t>
        </is>
      </c>
      <c r="B48" s="8" t="inlineStr">
        <is>
          <t>Asnas intermédias de linha alteada GL24h (vão 11,60 m)</t>
        </is>
      </c>
      <c r="C48" s="8" t="inlineStr">
        <is>
          <t>un</t>
        </is>
      </c>
      <c r="D48" s="9" t="n">
        <v>1</v>
      </c>
      <c r="E48" s="10" t="n">
        <v>632.5</v>
      </c>
      <c r="F48" s="11">
        <f>D48*E48</f>
        <v/>
      </c>
    </row>
    <row r="49">
      <c r="A49" s="8" t="inlineStr">
        <is>
          <t>L04</t>
        </is>
      </c>
      <c r="B49" s="8" t="inlineStr">
        <is>
          <t>Varas C24 63 × 150 afastadas de 0,60</t>
        </is>
      </c>
      <c r="C49" s="8" t="inlineStr">
        <is>
          <t>m</t>
        </is>
      </c>
      <c r="D49" s="9" t="n">
        <v>184.6</v>
      </c>
      <c r="E49" s="10" t="n">
        <v>8</v>
      </c>
      <c r="F49" s="11">
        <f>D49*E49</f>
        <v/>
      </c>
    </row>
    <row r="50">
      <c r="A50" s="8" t="inlineStr">
        <is>
          <t>L04</t>
        </is>
      </c>
      <c r="B50" s="8" t="inlineStr">
        <is>
          <t>Frechais 75 × 200 sobre o topo das paredes</t>
        </is>
      </c>
      <c r="C50" s="8" t="inlineStr">
        <is>
          <t>m</t>
        </is>
      </c>
      <c r="D50" s="9" t="n">
        <v>15.2</v>
      </c>
      <c r="E50" s="10" t="n">
        <v>13</v>
      </c>
      <c r="F50" s="11">
        <f>D50*E50</f>
        <v/>
      </c>
    </row>
    <row r="51">
      <c r="A51" s="8" t="inlineStr">
        <is>
          <t>L04</t>
        </is>
      </c>
      <c r="B51" s="8" t="inlineStr">
        <is>
          <t>Revestimento em telha cerâmica de encaixe + ripas, contra-ripas, membrana respirável</t>
        </is>
      </c>
      <c r="C51" s="8" t="inlineStr">
        <is>
          <t>m²</t>
        </is>
      </c>
      <c r="D51" s="9" t="n">
        <v>107.16</v>
      </c>
      <c r="E51" s="10" t="n">
        <v>32</v>
      </c>
      <c r="F51" s="11">
        <f>D51*E51</f>
        <v/>
      </c>
    </row>
    <row r="52">
      <c r="A52" s="8" t="inlineStr">
        <is>
          <t>L04</t>
        </is>
      </c>
      <c r="B52" s="8" t="inlineStr">
        <is>
          <t>Isolamento da esteira do desvão R ≥ 7 (lã mineral soprada)</t>
        </is>
      </c>
      <c r="C52" s="8" t="inlineStr">
        <is>
          <t>m²</t>
        </is>
      </c>
      <c r="D52" s="9" t="n">
        <v>80.64</v>
      </c>
      <c r="E52" s="10" t="n">
        <v>24</v>
      </c>
      <c r="F52" s="11">
        <f>D52*E52</f>
        <v/>
      </c>
    </row>
    <row r="53">
      <c r="A53" s="8" t="inlineStr">
        <is>
          <t>L04</t>
        </is>
      </c>
      <c r="B53" s="8" t="inlineStr">
        <is>
          <t>Caleiras de zinco meia-cana 33</t>
        </is>
      </c>
      <c r="C53" s="8" t="inlineStr">
        <is>
          <t>m</t>
        </is>
      </c>
      <c r="D53" s="9" t="n">
        <v>15.2</v>
      </c>
      <c r="E53" s="10" t="n">
        <v>28</v>
      </c>
      <c r="F53" s="11">
        <f>D53*E53</f>
        <v/>
      </c>
    </row>
    <row r="54">
      <c r="A54" s="8" t="inlineStr">
        <is>
          <t>L04</t>
        </is>
      </c>
      <c r="B54" s="8" t="inlineStr">
        <is>
          <t>Tubos de queda pluviais em zinco Ø80 + troço inferior em ferro fundido</t>
        </is>
      </c>
      <c r="C54" s="8" t="inlineStr">
        <is>
          <t>m</t>
        </is>
      </c>
      <c r="D54" s="9" t="n">
        <v>24.2</v>
      </c>
      <c r="E54" s="10" t="n">
        <v>22</v>
      </c>
      <c r="F54" s="11">
        <f>D54*E54</f>
        <v/>
      </c>
    </row>
    <row r="55">
      <c r="A55" s="6" t="inlineStr">
        <is>
          <t>05 — Instalações elétricas e ITED</t>
        </is>
      </c>
      <c r="B55" s="7" t="n"/>
      <c r="C55" s="7" t="n"/>
      <c r="D55" s="7" t="n"/>
      <c r="E55" s="7" t="n"/>
      <c r="F55" s="7" t="n"/>
    </row>
    <row r="56">
      <c r="A56" s="8" t="inlineStr">
        <is>
          <t>L05</t>
        </is>
      </c>
      <c r="B56" s="8" t="inlineStr">
        <is>
          <t>Tomadas 16 A (embutidas, aparelhagem corrente)</t>
        </is>
      </c>
      <c r="C56" s="8" t="inlineStr">
        <is>
          <t>un</t>
        </is>
      </c>
      <c r="D56" s="9" t="n">
        <v>31</v>
      </c>
      <c r="E56" s="10" t="n">
        <v>38</v>
      </c>
      <c r="F56" s="11">
        <f>D56*E56</f>
        <v/>
      </c>
    </row>
    <row r="57">
      <c r="A57" s="8" t="inlineStr">
        <is>
          <t>L05</t>
        </is>
      </c>
      <c r="B57" s="8" t="inlineStr">
        <is>
          <t>Pontos de luz (caixa + casquilho)</t>
        </is>
      </c>
      <c r="C57" s="8" t="inlineStr">
        <is>
          <t>un</t>
        </is>
      </c>
      <c r="D57" s="9" t="n">
        <v>14</v>
      </c>
      <c r="E57" s="10" t="n">
        <v>42</v>
      </c>
      <c r="F57" s="11">
        <f>D57*E57</f>
        <v/>
      </c>
    </row>
    <row r="58">
      <c r="A58" s="8" t="inlineStr">
        <is>
          <t>L05</t>
        </is>
      </c>
      <c r="B58" s="8" t="inlineStr">
        <is>
          <t>Comandos (interruptores / comutadores de escada)</t>
        </is>
      </c>
      <c r="C58" s="8" t="inlineStr">
        <is>
          <t>un</t>
        </is>
      </c>
      <c r="D58" s="9" t="n">
        <v>12</v>
      </c>
      <c r="E58" s="10" t="n">
        <v>28</v>
      </c>
      <c r="F58" s="11">
        <f>D58*E58</f>
        <v/>
      </c>
    </row>
    <row r="59">
      <c r="A59" s="8" t="inlineStr">
        <is>
          <t>L05</t>
        </is>
      </c>
      <c r="B59" s="8" t="inlineStr">
        <is>
          <t>Tomadas RJ45 (ITED)</t>
        </is>
      </c>
      <c r="C59" s="8" t="inlineStr">
        <is>
          <t>un</t>
        </is>
      </c>
      <c r="D59" s="9" t="n">
        <v>6</v>
      </c>
      <c r="E59" s="10" t="n">
        <v>55</v>
      </c>
      <c r="F59" s="11">
        <f>D59*E59</f>
        <v/>
      </c>
    </row>
    <row r="60">
      <c r="A60" s="8" t="inlineStr">
        <is>
          <t>L05</t>
        </is>
      </c>
      <c r="B60" s="8" t="inlineStr">
        <is>
          <t>Circuitos dedicados (placa, forno, máquinas de lavar e secar, AQS, bomba de calor, VMC, portão)</t>
        </is>
      </c>
      <c r="C60" s="8" t="inlineStr">
        <is>
          <t>un</t>
        </is>
      </c>
      <c r="D60" s="9" t="n">
        <v>7</v>
      </c>
      <c r="E60" s="10" t="n">
        <v>90</v>
      </c>
      <c r="F60" s="11">
        <f>D60*E60</f>
        <v/>
      </c>
    </row>
    <row r="61">
      <c r="A61" s="8" t="inlineStr">
        <is>
          <t>L05</t>
        </is>
      </c>
      <c r="B61" s="8" t="inlineStr">
        <is>
          <t>Circuitos de estores elétricos (por piso)</t>
        </is>
      </c>
      <c r="C61" s="8" t="inlineStr">
        <is>
          <t>un</t>
        </is>
      </c>
      <c r="D61" s="9" t="n">
        <v>2</v>
      </c>
      <c r="E61" s="10" t="n">
        <v>70</v>
      </c>
      <c r="F61" s="11">
        <f>D61*E61</f>
        <v/>
      </c>
    </row>
    <row r="62">
      <c r="A62" s="8" t="inlineStr">
        <is>
          <t>L05</t>
        </is>
      </c>
      <c r="B62" s="8" t="inlineStr">
        <is>
          <t>Quadro elétrico de 3 filas equipado (4 diferenciais 40 A 30 mA + disjuntores)</t>
        </is>
      </c>
      <c r="C62" s="8" t="inlineStr">
        <is>
          <t>vg</t>
        </is>
      </c>
      <c r="D62" s="9" t="n">
        <v>1</v>
      </c>
      <c r="E62" s="10" t="n">
        <v>850</v>
      </c>
      <c r="F62" s="11">
        <f>D62*E62</f>
        <v/>
      </c>
    </row>
    <row r="63">
      <c r="A63" s="8" t="inlineStr">
        <is>
          <t>L05</t>
        </is>
      </c>
      <c r="B63" s="8" t="inlineStr">
        <is>
          <t>Caixa de entrada + ATI (ITED)</t>
        </is>
      </c>
      <c r="C63" s="8" t="inlineStr">
        <is>
          <t>vg</t>
        </is>
      </c>
      <c r="D63" s="9" t="n">
        <v>1</v>
      </c>
      <c r="E63" s="10" t="n">
        <v>350</v>
      </c>
      <c r="F63" s="11">
        <f>D63*E63</f>
        <v/>
      </c>
    </row>
    <row r="64">
      <c r="A64" s="8" t="inlineStr">
        <is>
          <t>L05</t>
        </is>
      </c>
      <c r="B64" s="8" t="inlineStr">
        <is>
          <t>Elétrodo de terra em anel nas fundações + ligações equipotenciais</t>
        </is>
      </c>
      <c r="C64" s="8" t="inlineStr">
        <is>
          <t>vg</t>
        </is>
      </c>
      <c r="D64" s="9" t="n">
        <v>1</v>
      </c>
      <c r="E64" s="10" t="n">
        <v>280</v>
      </c>
      <c r="F64" s="11">
        <f>D64*E64</f>
        <v/>
      </c>
    </row>
    <row r="65">
      <c r="A65" s="8" t="inlineStr">
        <is>
          <t>L05</t>
        </is>
      </c>
      <c r="B65" s="8" t="inlineStr">
        <is>
          <t>Ventilação mecânica higrorregulável (ventilador + bocas + condutas)</t>
        </is>
      </c>
      <c r="C65" s="8" t="inlineStr">
        <is>
          <t>vg</t>
        </is>
      </c>
      <c r="D65" s="9" t="n">
        <v>1</v>
      </c>
      <c r="E65" s="10" t="n">
        <v>650</v>
      </c>
      <c r="F65" s="11">
        <f>D65*E65</f>
        <v/>
      </c>
    </row>
    <row r="66">
      <c r="A66" s="6" t="inlineStr">
        <is>
          <t>06 — Águas e esgotos (DR 23/95)</t>
        </is>
      </c>
      <c r="B66" s="7" t="n"/>
      <c r="C66" s="7" t="n"/>
      <c r="D66" s="7" t="n"/>
      <c r="E66" s="7" t="n"/>
      <c r="F66" s="7" t="n"/>
    </row>
    <row r="67">
      <c r="A67" s="8" t="inlineStr">
        <is>
          <t>L06</t>
        </is>
      </c>
      <c r="B67" s="8" t="inlineStr">
        <is>
          <t>Lava-loiças (cozinha, lavandaria) — torneiras</t>
        </is>
      </c>
      <c r="C67" s="8" t="inlineStr">
        <is>
          <t>un</t>
        </is>
      </c>
      <c r="D67" s="9" t="n">
        <v>1</v>
      </c>
      <c r="E67" s="10" t="n">
        <v>260</v>
      </c>
      <c r="F67" s="11">
        <f>D67*E67</f>
        <v/>
      </c>
    </row>
    <row r="68">
      <c r="A68" s="8" t="inlineStr">
        <is>
          <t>L06</t>
        </is>
      </c>
      <c r="B68" s="8" t="inlineStr">
        <is>
          <t>Ponto de água e esgoto para máquina de lavar loiça</t>
        </is>
      </c>
      <c r="C68" s="8" t="inlineStr">
        <is>
          <t>un</t>
        </is>
      </c>
      <c r="D68" s="9" t="n">
        <v>1</v>
      </c>
      <c r="E68" s="10" t="n">
        <v>85</v>
      </c>
      <c r="F68" s="11">
        <f>D68*E68</f>
        <v/>
      </c>
    </row>
    <row r="69">
      <c r="A69" s="8" t="inlineStr">
        <is>
          <t>L06</t>
        </is>
      </c>
      <c r="B69" s="8" t="inlineStr">
        <is>
          <t>Ponto de água e esgoto para máquina de lavar roupa</t>
        </is>
      </c>
      <c r="C69" s="8" t="inlineStr">
        <is>
          <t>un</t>
        </is>
      </c>
      <c r="D69" s="9" t="n">
        <v>1</v>
      </c>
      <c r="E69" s="10" t="n">
        <v>85</v>
      </c>
      <c r="F69" s="11">
        <f>D69*E69</f>
        <v/>
      </c>
    </row>
    <row r="70">
      <c r="A70" s="8" t="inlineStr">
        <is>
          <t>L06</t>
        </is>
      </c>
      <c r="B70" s="8" t="inlineStr">
        <is>
          <t>Sanitas suspensas com estrutura de apoio</t>
        </is>
      </c>
      <c r="C70" s="8" t="inlineStr">
        <is>
          <t>un</t>
        </is>
      </c>
      <c r="D70" s="9" t="n">
        <v>2</v>
      </c>
      <c r="E70" s="10" t="n">
        <v>380</v>
      </c>
      <c r="F70" s="11">
        <f>D70*E70</f>
        <v/>
      </c>
    </row>
    <row r="71">
      <c r="A71" s="8" t="inlineStr">
        <is>
          <t>L06</t>
        </is>
      </c>
      <c r="B71" s="8" t="inlineStr">
        <is>
          <t>Lavatório pequeno</t>
        </is>
      </c>
      <c r="C71" s="8" t="inlineStr">
        <is>
          <t>un</t>
        </is>
      </c>
      <c r="D71" s="9" t="n">
        <v>1</v>
      </c>
      <c r="E71" s="10" t="n">
        <v>190</v>
      </c>
      <c r="F71" s="11">
        <f>D71*E71</f>
        <v/>
      </c>
    </row>
    <row r="72">
      <c r="A72" s="8" t="inlineStr">
        <is>
          <t>L06</t>
        </is>
      </c>
      <c r="B72" s="8" t="inlineStr">
        <is>
          <t>Lavatórios + móveis + misturadoras</t>
        </is>
      </c>
      <c r="C72" s="8" t="inlineStr">
        <is>
          <t>un</t>
        </is>
      </c>
      <c r="D72" s="9" t="n">
        <v>1</v>
      </c>
      <c r="E72" s="10" t="n">
        <v>300</v>
      </c>
      <c r="F72" s="11">
        <f>D72*E72</f>
        <v/>
      </c>
    </row>
    <row r="73">
      <c r="A73" s="8" t="inlineStr">
        <is>
          <t>L06</t>
        </is>
      </c>
      <c r="B73" s="8" t="inlineStr">
        <is>
          <t>Banheira acrílica 170 + misturadora</t>
        </is>
      </c>
      <c r="C73" s="8" t="inlineStr">
        <is>
          <t>un</t>
        </is>
      </c>
      <c r="D73" s="9" t="n">
        <v>1</v>
      </c>
      <c r="E73" s="10" t="n">
        <v>600</v>
      </c>
      <c r="F73" s="11">
        <f>D73*E73</f>
        <v/>
      </c>
    </row>
    <row r="74">
      <c r="A74" s="8" t="inlineStr">
        <is>
          <t>L06</t>
        </is>
      </c>
      <c r="B74" s="8" t="inlineStr">
        <is>
          <t>Torneira de rega exterior anticongelante</t>
        </is>
      </c>
      <c r="C74" s="8" t="inlineStr">
        <is>
          <t>un</t>
        </is>
      </c>
      <c r="D74" s="9" t="n">
        <v>1</v>
      </c>
      <c r="E74" s="10" t="n">
        <v>90</v>
      </c>
      <c r="F74" s="11">
        <f>D74*E74</f>
        <v/>
      </c>
    </row>
    <row r="75">
      <c r="A75" s="8" t="inlineStr">
        <is>
          <t>L06</t>
        </is>
      </c>
      <c r="B75" s="8" t="inlineStr">
        <is>
          <t>Bomba de calor para AQS 200 L + grupo de segurança</t>
        </is>
      </c>
      <c r="C75" s="8" t="inlineStr">
        <is>
          <t>un</t>
        </is>
      </c>
      <c r="D75" s="9" t="n">
        <v>1</v>
      </c>
      <c r="E75" s="10" t="n">
        <v>1650</v>
      </c>
      <c r="F75" s="11">
        <f>D75*E75</f>
        <v/>
      </c>
    </row>
    <row r="76">
      <c r="A76" s="8" t="inlineStr">
        <is>
          <t>L06</t>
        </is>
      </c>
      <c r="B76" s="8" t="inlineStr">
        <is>
          <t>Coletores AF/AQS, redutor de pressão, filtro, válvula de retenção, válvulas</t>
        </is>
      </c>
      <c r="C76" s="8" t="inlineStr">
        <is>
          <t>vg</t>
        </is>
      </c>
      <c r="D76" s="9" t="n">
        <v>1</v>
      </c>
      <c r="E76" s="10" t="n">
        <v>950</v>
      </c>
      <c r="F76" s="11">
        <f>D76*E76</f>
        <v/>
      </c>
    </row>
    <row r="77">
      <c r="A77" s="8" t="inlineStr">
        <is>
          <t>L06</t>
        </is>
      </c>
      <c r="B77" s="8" t="inlineStr">
        <is>
          <t>Distribuição em multicamada com manga (AF + AQS)</t>
        </is>
      </c>
      <c r="C77" s="8" t="inlineStr">
        <is>
          <t>m</t>
        </is>
      </c>
      <c r="D77" s="9" t="n">
        <v>111.2</v>
      </c>
      <c r="E77" s="10" t="n">
        <v>5.5</v>
      </c>
      <c r="F77" s="11">
        <f>D77*E77</f>
        <v/>
      </c>
    </row>
    <row r="78">
      <c r="A78" s="8" t="inlineStr">
        <is>
          <t>L06</t>
        </is>
      </c>
      <c r="B78" s="8" t="inlineStr">
        <is>
          <t>Tubos de queda de águas residuais em PVC Ø100 + ventilação primária</t>
        </is>
      </c>
      <c r="C78" s="8" t="inlineStr">
        <is>
          <t>m</t>
        </is>
      </c>
      <c r="D78" s="9" t="n">
        <v>19.4</v>
      </c>
      <c r="E78" s="10" t="n">
        <v>22</v>
      </c>
      <c r="F78" s="11">
        <f>D78*E78</f>
        <v/>
      </c>
    </row>
    <row r="79">
      <c r="A79" s="8" t="inlineStr">
        <is>
          <t>L06</t>
        </is>
      </c>
      <c r="B79" s="8" t="inlineStr">
        <is>
          <t>Coletor Ø100 enterrado sob a laje térrea + ramais Ø32/40/100 dos aparelhos</t>
        </is>
      </c>
      <c r="C79" s="8" t="inlineStr">
        <is>
          <t>m</t>
        </is>
      </c>
      <c r="D79" s="9" t="n">
        <v>23.04</v>
      </c>
      <c r="E79" s="10" t="n">
        <v>26</v>
      </c>
      <c r="F79" s="11">
        <f>D79*E79</f>
        <v/>
      </c>
    </row>
    <row r="80">
      <c r="A80" s="8" t="inlineStr">
        <is>
          <t>L06</t>
        </is>
      </c>
      <c r="B80" s="8" t="inlineStr">
        <is>
          <t>Ligação à rede no limite (sem taxas da entidade gestora)</t>
        </is>
      </c>
      <c r="C80" s="8" t="inlineStr">
        <is>
          <t>vg</t>
        </is>
      </c>
      <c r="D80" s="9" t="n">
        <v>1</v>
      </c>
      <c r="E80" s="10" t="n">
        <v>600</v>
      </c>
      <c r="F80" s="11">
        <f>D80*E80</f>
        <v/>
      </c>
    </row>
    <row r="81"/>
    <row r="82">
      <c r="B82" s="12" t="inlineStr">
        <is>
          <t>RESUMO POR CAPÍTULO</t>
        </is>
      </c>
    </row>
    <row r="83">
      <c r="B83" s="2" t="inlineStr">
        <is>
          <t>01 — Estaleiro, estudos, movimento de terras</t>
        </is>
      </c>
      <c r="F83" s="13">
        <f>SUMIF($A$7:$A$80,"L01",$F$7:$F$80)</f>
        <v/>
      </c>
    </row>
    <row r="84">
      <c r="B84" s="2" t="inlineStr">
        <is>
          <t>02 — Fundações e laje térrea</t>
        </is>
      </c>
      <c r="F84" s="13">
        <f>SUMIF($A$7:$A$80,"L02",$F$7:$F$80)</f>
        <v/>
      </c>
    </row>
    <row r="85">
      <c r="B85" s="2" t="inlineStr">
        <is>
          <t>03 — Estrutura e alvenarias em elevação</t>
        </is>
      </c>
      <c r="F85" s="13">
        <f>SUMIF($A$7:$A$80,"L03",$F$7:$F$80)</f>
        <v/>
      </c>
    </row>
    <row r="86">
      <c r="B86" s="2" t="inlineStr">
        <is>
          <t>04 — Estrutura da cobertura, revestimento, caleiras</t>
        </is>
      </c>
      <c r="F86" s="13">
        <f>SUMIF($A$7:$A$80,"L04",$F$7:$F$80)</f>
        <v/>
      </c>
    </row>
    <row r="87">
      <c r="B87" s="2" t="inlineStr">
        <is>
          <t>05 — Instalações elétricas e ITED</t>
        </is>
      </c>
      <c r="F87" s="13">
        <f>SUMIF($A$7:$A$80,"L05",$F$7:$F$80)</f>
        <v/>
      </c>
    </row>
    <row r="88">
      <c r="B88" s="2" t="inlineStr">
        <is>
          <t>06 — Águas e esgotos (DR 23/95)</t>
        </is>
      </c>
      <c r="F88" s="13">
        <f>SUMIF($A$7:$A$80,"L06",$F$7:$F$80)</f>
        <v/>
      </c>
    </row>
    <row r="89">
      <c r="B89" s="12" t="inlineStr">
        <is>
          <t>TOTAL s/ IVA</t>
        </is>
      </c>
      <c r="F89" s="14">
        <f>SUM(F7:F80)</f>
        <v/>
      </c>
    </row>
    <row r="90">
      <c r="B90" s="2" t="inlineStr">
        <is>
          <t>IVA</t>
        </is>
      </c>
      <c r="F90" s="13">
        <f>F89*$B$4</f>
        <v/>
      </c>
    </row>
    <row r="91">
      <c r="B91" s="12" t="inlineStr">
        <is>
          <t>TOTAL c/ IVA</t>
        </is>
      </c>
      <c r="F91" s="14">
        <f>F89+F90</f>
        <v/>
      </c>
    </row>
    <row r="92">
      <c r="B92" s="2" t="inlineStr">
        <is>
          <t>Rácio € s/ IVA / m² de área útil medida (135,60 m²)</t>
        </is>
      </c>
      <c r="F92" s="15">
        <f>F89/135.6</f>
        <v/>
      </c>
    </row>
    <row r="93"/>
    <row r="94">
      <c r="B94" s="3" t="inlineStr">
        <is>
          <t>Excluídos : caixilharias exteriores, gessos e isolamento das paredes, betonilhas, revestimentos, pinturas, aquecimento (emissores + bomba de calor), arranjos exteriores, ramais das entidades gestoras.</t>
        </is>
      </c>
    </row>
    <row r="95">
      <c r="B95" s="3" t="inlineStr">
        <is>
          <t>Preços indicativos não contratuais : o ConstruPilot não garante os preços ; substituir pela base de preços da empresa antes de qualquer envio ao cliente.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  <col width="8" customWidth="1" min="3" max="3"/>
    <col width="12" customWidth="1" min="4" max="4"/>
    <col width="18" customWidth="1" min="5" max="5"/>
  </cols>
  <sheetData>
    <row r="1">
      <c r="A1" s="16" t="inlineStr">
        <is>
          <t>Capítulo</t>
        </is>
      </c>
      <c r="B1" s="16" t="inlineStr">
        <is>
          <t>Elemento</t>
        </is>
      </c>
      <c r="C1" s="16" t="inlineStr">
        <is>
          <t>Unidade</t>
        </is>
      </c>
      <c r="D1" s="16" t="inlineStr">
        <is>
          <t>Quantidade</t>
        </is>
      </c>
      <c r="E1" s="16" t="inlineStr">
        <is>
          <t>Aço estimado (kg)</t>
        </is>
      </c>
    </row>
    <row r="2">
      <c r="A2" s="2" t="inlineStr">
        <is>
          <t>Movimento de terras</t>
        </is>
      </c>
      <c r="B2" s="2" t="inlineStr">
        <is>
          <t>Decapagem da terra vegetal (30 cm) na área de implantação + 1 m</t>
        </is>
      </c>
      <c r="C2" s="2" t="inlineStr">
        <is>
          <t>m³</t>
        </is>
      </c>
      <c r="D2" s="2" t="n">
        <v>39.17</v>
      </c>
      <c r="E2" s="2" t="n">
        <v>0</v>
      </c>
    </row>
    <row r="3">
      <c r="A3" s="2" t="inlineStr">
        <is>
          <t>Movimento de terras</t>
        </is>
      </c>
      <c r="B3" s="2" t="inlineStr">
        <is>
          <t>Abertura de valas para as sapatas</t>
        </is>
      </c>
      <c r="C3" s="2" t="inlineStr">
        <is>
          <t>m³</t>
        </is>
      </c>
      <c r="D3" s="2" t="n">
        <v>6.33</v>
      </c>
      <c r="E3" s="2" t="n">
        <v>0</v>
      </c>
    </row>
    <row r="4">
      <c r="A4" s="2" t="inlineStr">
        <is>
          <t>Movimento de terras</t>
        </is>
      </c>
      <c r="B4" s="2" t="inlineStr">
        <is>
          <t>Transporte de terras a vazadouro (empolamento 1,25)</t>
        </is>
      </c>
      <c r="C4" s="2" t="inlineStr">
        <is>
          <t>m³</t>
        </is>
      </c>
      <c r="D4" s="2" t="n">
        <v>56.87</v>
      </c>
      <c r="E4" s="2" t="n">
        <v>0</v>
      </c>
    </row>
    <row r="5">
      <c r="A5" s="2" t="inlineStr">
        <is>
          <t>Fundações</t>
        </is>
      </c>
      <c r="B5" s="2" t="inlineStr">
        <is>
          <t>Sapata contínua sob Alçado lateral esquerdo (Nascente) B = 0,50 × h = 0,30</t>
        </is>
      </c>
      <c r="C5" s="2" t="inlineStr">
        <is>
          <t>m³</t>
        </is>
      </c>
      <c r="D5" s="2" t="n">
        <v>1.74</v>
      </c>
      <c r="E5" s="2" t="n">
        <v>78.3</v>
      </c>
    </row>
    <row r="6">
      <c r="A6" s="2" t="inlineStr">
        <is>
          <t>Fundações</t>
        </is>
      </c>
      <c r="B6" s="2" t="inlineStr">
        <is>
          <t>Sapata contínua sob Alçado lateral direito (Poente) B = 0,50 × h = 0,30</t>
        </is>
      </c>
      <c r="C6" s="2" t="inlineStr">
        <is>
          <t>m³</t>
        </is>
      </c>
      <c r="D6" s="2" t="n">
        <v>1.74</v>
      </c>
      <c r="E6" s="2" t="n">
        <v>78.3</v>
      </c>
    </row>
    <row r="7">
      <c r="A7" s="2" t="inlineStr">
        <is>
          <t>Fundações</t>
        </is>
      </c>
      <c r="B7" s="2" t="inlineStr">
        <is>
          <t>Sapata contínua sob Alçado posterior (Sul) B = 0,50 × h = 0,30</t>
        </is>
      </c>
      <c r="C7" s="2" t="inlineStr">
        <is>
          <t>m³</t>
        </is>
      </c>
      <c r="D7" s="2" t="n">
        <v>1.08</v>
      </c>
      <c r="E7" s="2" t="n">
        <v>48.6</v>
      </c>
    </row>
    <row r="8">
      <c r="A8" s="2" t="inlineStr">
        <is>
          <t>Fundações</t>
        </is>
      </c>
      <c r="B8" s="2" t="inlineStr">
        <is>
          <t>Sapata contínua sob Alçado principal (Norte) B = 0,50 × h = 0,30</t>
        </is>
      </c>
      <c r="C8" s="2" t="inlineStr">
        <is>
          <t>m³</t>
        </is>
      </c>
      <c r="D8" s="2" t="n">
        <v>1.08</v>
      </c>
      <c r="E8" s="2" t="n">
        <v>48.6</v>
      </c>
    </row>
    <row r="9">
      <c r="A9" s="2" t="inlineStr">
        <is>
          <t>Fundações</t>
        </is>
      </c>
      <c r="B9" s="2" t="inlineStr">
        <is>
          <t>Sapatas sob as paredes da caixa de escada B = 0,50 × h = 0,30</t>
        </is>
      </c>
      <c r="C9" s="2" t="inlineStr">
        <is>
          <t>m³</t>
        </is>
      </c>
      <c r="D9" s="2" t="n">
        <v>0.6899999999999999</v>
      </c>
      <c r="E9" s="2" t="n">
        <v>31</v>
      </c>
    </row>
    <row r="10">
      <c r="A10" s="2" t="inlineStr">
        <is>
          <t>Fundações</t>
        </is>
      </c>
      <c r="B10" s="2" t="inlineStr">
        <is>
          <t>Betão de limpeza 5 cm</t>
        </is>
      </c>
      <c r="C10" s="2" t="inlineStr">
        <is>
          <t>m²</t>
        </is>
      </c>
      <c r="D10" s="2" t="n">
        <v>21.1</v>
      </c>
      <c r="E10" s="2" t="n">
        <v>0</v>
      </c>
    </row>
    <row r="11">
      <c r="A11" s="2" t="inlineStr">
        <is>
          <t>Estrutura e alvenarias</t>
        </is>
      </c>
      <c r="B11" s="2" t="inlineStr">
        <is>
          <t>Paredes de BA 15 da caixa de escada (R/C → 1.º andar)</t>
        </is>
      </c>
      <c r="C11" s="2" t="inlineStr">
        <is>
          <t>m³</t>
        </is>
      </c>
      <c r="D11" s="2" t="n">
        <v>3.83</v>
      </c>
      <c r="E11" s="2" t="n">
        <v>191.5</v>
      </c>
    </row>
    <row r="12">
      <c r="A12" s="2" t="inlineStr">
        <is>
          <t>Laje térrea</t>
        </is>
      </c>
      <c r="B12" s="2" t="inlineStr">
        <is>
          <t>Tout-venant 0/31,5 compactado 20 cm + polietileno</t>
        </is>
      </c>
      <c r="C12" s="2" t="inlineStr">
        <is>
          <t>m²</t>
        </is>
      </c>
      <c r="D12" s="2" t="n">
        <v>80.64</v>
      </c>
      <c r="E12" s="2" t="n">
        <v>0</v>
      </c>
    </row>
    <row r="13">
      <c r="A13" s="2" t="inlineStr">
        <is>
          <t>Laje térrea</t>
        </is>
      </c>
      <c r="B13" s="2" t="inlineStr">
        <is>
          <t>Laje térrea de BA 15 cm + 1 malha ST 25 C</t>
        </is>
      </c>
      <c r="C13" s="2" t="inlineStr">
        <is>
          <t>m³</t>
        </is>
      </c>
      <c r="D13" s="2" t="n">
        <v>12.1</v>
      </c>
      <c r="E13" s="2" t="n">
        <v>217.7</v>
      </c>
    </row>
    <row r="14">
      <c r="A14" s="2" t="inlineStr">
        <is>
          <t>Lajes</t>
        </is>
      </c>
      <c r="B14" s="2" t="inlineStr">
        <is>
          <t>Laje do teto do Rés-do-chão (pavimento do 1.º andar) — laje aligeirada de vigotas pré-esforçadas e abobadilhas de betão 25+5 — vigotas duplas (2 por nervura), afastamento 0,60</t>
        </is>
      </c>
      <c r="C14" s="2" t="inlineStr">
        <is>
          <t>m²</t>
        </is>
      </c>
      <c r="D14" s="2" t="n">
        <v>76.5</v>
      </c>
      <c r="E14" s="2" t="n">
        <v>275.4</v>
      </c>
    </row>
    <row r="15">
      <c r="A15" s="2" t="inlineStr">
        <is>
          <t>Alvenaria</t>
        </is>
      </c>
      <c r="B15" s="2" t="inlineStr">
        <is>
          <t>Paredes de tijolo térmico 20 de junta delgada (alçados, R/C → beirado)</t>
        </is>
      </c>
      <c r="C15" s="2" t="inlineStr">
        <is>
          <t>m²</t>
        </is>
      </c>
      <c r="D15" s="2" t="n">
        <v>201.98</v>
      </c>
      <c r="E15" s="2" t="n">
        <v>0</v>
      </c>
    </row>
    <row r="16">
      <c r="A16" s="2" t="inlineStr">
        <is>
          <t>Alvenaria</t>
        </is>
      </c>
      <c r="B16" s="2" t="inlineStr">
        <is>
          <t>Empenas de tijolo térmico 20 (triângulos beirado → cumeeira)</t>
        </is>
      </c>
      <c r="C16" s="2" t="inlineStr">
        <is>
          <t>m²</t>
        </is>
      </c>
      <c r="D16" s="2" t="n">
        <v>38.86</v>
      </c>
      <c r="E16" s="2" t="n">
        <v>0</v>
      </c>
    </row>
    <row r="17">
      <c r="A17" s="2" t="inlineStr">
        <is>
          <t>Betão armado</t>
        </is>
      </c>
      <c r="B17" s="2" t="inlineStr">
        <is>
          <t>Cintas horizontais 20 × 30 (2 pisos)</t>
        </is>
      </c>
      <c r="C17" s="2" t="inlineStr">
        <is>
          <t>m</t>
        </is>
      </c>
      <c r="D17" s="2" t="n">
        <v>76.8</v>
      </c>
      <c r="E17" s="2" t="n">
        <v>278.4</v>
      </c>
    </row>
    <row r="18">
      <c r="A18" s="2" t="inlineStr">
        <is>
          <t>Betão armado</t>
        </is>
      </c>
      <c r="B18" s="2" t="inlineStr">
        <is>
          <t>Pilaretes 20 × 20</t>
        </is>
      </c>
      <c r="C18" s="2" t="inlineStr">
        <is>
          <t>m</t>
        </is>
      </c>
      <c r="D18" s="2" t="n">
        <v>58.5</v>
      </c>
      <c r="E18" s="2" t="n">
        <v>191.2</v>
      </c>
    </row>
    <row r="19">
      <c r="A19" s="2" t="inlineStr">
        <is>
          <t>Betão armado</t>
        </is>
      </c>
      <c r="B19" s="2" t="inlineStr">
        <is>
          <t>Cintas inclinadas das empenas</t>
        </is>
      </c>
      <c r="C19" s="2" t="inlineStr">
        <is>
          <t>m</t>
        </is>
      </c>
      <c r="D19" s="2" t="n">
        <v>26.8</v>
      </c>
      <c r="E19" s="2" t="n">
        <v>87.59999999999999</v>
      </c>
    </row>
    <row r="20">
      <c r="A20" s="2" t="inlineStr">
        <is>
          <t>Betão armado</t>
        </is>
      </c>
      <c r="B20" s="2" t="inlineStr">
        <is>
          <t>Lintel L-RC-E1 0,20 × 0,30, L = 1,40</t>
        </is>
      </c>
      <c r="C20" s="2" t="inlineStr">
        <is>
          <t>un</t>
        </is>
      </c>
      <c r="D20" s="2" t="n">
        <v>1</v>
      </c>
      <c r="E20" s="2" t="n">
        <v>5.7</v>
      </c>
    </row>
    <row r="21">
      <c r="A21" s="2" t="inlineStr">
        <is>
          <t>Betão armado</t>
        </is>
      </c>
      <c r="B21" s="2" t="inlineStr">
        <is>
          <t>Lintel L-A1-E1 0,20 × 0,30, L = 1,40</t>
        </is>
      </c>
      <c r="C21" s="2" t="inlineStr">
        <is>
          <t>un</t>
        </is>
      </c>
      <c r="D21" s="2" t="n">
        <v>1</v>
      </c>
      <c r="E21" s="2" t="n">
        <v>5.7</v>
      </c>
    </row>
    <row r="22">
      <c r="A22" s="2" t="inlineStr">
        <is>
          <t>Betão armado</t>
        </is>
      </c>
      <c r="B22" s="2" t="inlineStr">
        <is>
          <t>Lintel L-RC-D1 0,20 × 0,30, L = 1,00</t>
        </is>
      </c>
      <c r="C22" s="2" t="inlineStr">
        <is>
          <t>un</t>
        </is>
      </c>
      <c r="D22" s="2" t="n">
        <v>1</v>
      </c>
      <c r="E22" s="2" t="n">
        <v>4.1</v>
      </c>
    </row>
    <row r="23">
      <c r="A23" s="2" t="inlineStr">
        <is>
          <t>Betão armado</t>
        </is>
      </c>
      <c r="B23" s="2" t="inlineStr">
        <is>
          <t>Lintel L-A1-D1 0,20 × 0,30, L = 1,30</t>
        </is>
      </c>
      <c r="C23" s="2" t="inlineStr">
        <is>
          <t>un</t>
        </is>
      </c>
      <c r="D23" s="2" t="n">
        <v>1</v>
      </c>
      <c r="E23" s="2" t="n">
        <v>5.3</v>
      </c>
    </row>
    <row r="24">
      <c r="A24" s="2" t="inlineStr">
        <is>
          <t>Betão armado</t>
        </is>
      </c>
      <c r="B24" s="2" t="inlineStr">
        <is>
          <t>Lintel L-RC-T1 0,20 × 0,35, L = 3,40</t>
        </is>
      </c>
      <c r="C24" s="2" t="inlineStr">
        <is>
          <t>un</t>
        </is>
      </c>
      <c r="D24" s="2" t="n">
        <v>1</v>
      </c>
      <c r="E24" s="2" t="n">
        <v>16.3</v>
      </c>
    </row>
    <row r="25">
      <c r="A25" s="2" t="inlineStr">
        <is>
          <t>Betão armado</t>
        </is>
      </c>
      <c r="B25" s="2" t="inlineStr">
        <is>
          <t>Lintel L-RC-T2 0,20 × 0,20, L = 1,80</t>
        </is>
      </c>
      <c r="C25" s="2" t="inlineStr">
        <is>
          <t>un</t>
        </is>
      </c>
      <c r="D25" s="2" t="n">
        <v>1</v>
      </c>
      <c r="E25" s="2" t="n">
        <v>6.8</v>
      </c>
    </row>
    <row r="26">
      <c r="A26" s="2" t="inlineStr">
        <is>
          <t>Betão armado</t>
        </is>
      </c>
      <c r="B26" s="2" t="inlineStr">
        <is>
          <t>Lintel L-A1-T1 0,20 × 0,20, L = 1,80</t>
        </is>
      </c>
      <c r="C26" s="2" t="inlineStr">
        <is>
          <t>un</t>
        </is>
      </c>
      <c r="D26" s="2" t="n">
        <v>1</v>
      </c>
      <c r="E26" s="2" t="n">
        <v>6.8</v>
      </c>
    </row>
    <row r="27">
      <c r="A27" s="2" t="inlineStr">
        <is>
          <t>Betão armado</t>
        </is>
      </c>
      <c r="B27" s="2" t="inlineStr">
        <is>
          <t>Lintel L-A1-T2 0,20 × 0,20, L = 1,80</t>
        </is>
      </c>
      <c r="C27" s="2" t="inlineStr">
        <is>
          <t>un</t>
        </is>
      </c>
      <c r="D27" s="2" t="n">
        <v>1</v>
      </c>
      <c r="E27" s="2" t="n">
        <v>6.8</v>
      </c>
    </row>
    <row r="28">
      <c r="A28" s="2" t="inlineStr">
        <is>
          <t>Betão armado</t>
        </is>
      </c>
      <c r="B28" s="2" t="inlineStr">
        <is>
          <t>Lintel L-RC-P1 0,20 × 0,20, L = 1,80</t>
        </is>
      </c>
      <c r="C28" s="2" t="inlineStr">
        <is>
          <t>un</t>
        </is>
      </c>
      <c r="D28" s="2" t="n">
        <v>1</v>
      </c>
      <c r="E28" s="2" t="n">
        <v>6.8</v>
      </c>
    </row>
    <row r="29">
      <c r="A29" s="2" t="inlineStr">
        <is>
          <t>Betão armado</t>
        </is>
      </c>
      <c r="B29" s="2" t="inlineStr">
        <is>
          <t>Lintel L-RC-P2 0,20 × 0,20, L = 1,40</t>
        </is>
      </c>
      <c r="C29" s="2" t="inlineStr">
        <is>
          <t>un</t>
        </is>
      </c>
      <c r="D29" s="2" t="n">
        <v>1</v>
      </c>
      <c r="E29" s="2" t="n">
        <v>5.4</v>
      </c>
    </row>
    <row r="30">
      <c r="A30" s="2" t="inlineStr">
        <is>
          <t>Betão armado</t>
        </is>
      </c>
      <c r="B30" s="2" t="inlineStr">
        <is>
          <t>Lintel L-A1-P1 0,20 × 0,20, L = 1,80</t>
        </is>
      </c>
      <c r="C30" s="2" t="inlineStr">
        <is>
          <t>un</t>
        </is>
      </c>
      <c r="D30" s="2" t="n">
        <v>1</v>
      </c>
      <c r="E30" s="2" t="n">
        <v>6.8</v>
      </c>
    </row>
    <row r="31">
      <c r="A31" s="2" t="inlineStr">
        <is>
          <t>Betão armado</t>
        </is>
      </c>
      <c r="B31" s="2" t="inlineStr">
        <is>
          <t>Lintel L-A1-P2 0,20 × 0,20, L = 1,80</t>
        </is>
      </c>
      <c r="C31" s="2" t="inlineStr">
        <is>
          <t>un</t>
        </is>
      </c>
      <c r="D31" s="2" t="n">
        <v>1</v>
      </c>
      <c r="E31" s="2" t="n">
        <v>6.8</v>
      </c>
    </row>
    <row r="32">
      <c r="A32" s="2" t="inlineStr">
        <is>
          <t>Escada</t>
        </is>
      </c>
      <c r="B32" s="2" t="inlineStr">
        <is>
          <t>Escada de betão com 2 patamares de ¼ (1 lanço R/C→1.º andar)</t>
        </is>
      </c>
      <c r="C32" s="2" t="inlineStr">
        <is>
          <t>un</t>
        </is>
      </c>
      <c r="D32" s="2" t="n">
        <v>1</v>
      </c>
      <c r="E32" s="2" t="n">
        <v>0</v>
      </c>
    </row>
    <row r="33">
      <c r="B33" s="12" t="inlineStr">
        <is>
          <t>TOTAL de aço estimado (kg)</t>
        </is>
      </c>
      <c r="E33" s="12">
        <f>SUM(E2:E32)</f>
        <v/>
      </c>
    </row>
    <row r="34">
      <c r="B34" s="3" t="inlineStr">
        <is>
          <t>Hipótese de aço : taxas por elemento calculadas a partir das secções de armadura do processo (+10 % de emendas).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6" t="inlineStr">
        <is>
          <t>Referência</t>
        </is>
      </c>
      <c r="B1" s="16" t="inlineStr">
        <is>
          <t>Piso</t>
        </is>
      </c>
      <c r="C1" s="16" t="inlineStr">
        <is>
          <t>Alçado</t>
        </is>
      </c>
      <c r="D1" s="16" t="inlineStr">
        <is>
          <t>Vão (m)</t>
        </is>
      </c>
      <c r="E1" s="16" t="inlineStr">
        <is>
          <t>b × h</t>
        </is>
      </c>
      <c r="F1" s="16" t="inlineStr">
        <is>
          <t>M_Ed (kN.m)</t>
        </is>
      </c>
      <c r="G1" s="16" t="inlineStr">
        <is>
          <t>V_Ed (kN)</t>
        </is>
      </c>
      <c r="H1" s="16" t="inlineStr">
        <is>
          <t>Armadura inf.</t>
        </is>
      </c>
      <c r="I1" s="16" t="inlineStr">
        <is>
          <t>Armadura sup.</t>
        </is>
      </c>
      <c r="J1" s="16" t="inlineStr">
        <is>
          <t>Estribos</t>
        </is>
      </c>
    </row>
    <row r="2">
      <c r="A2" s="2" t="inlineStr">
        <is>
          <t>L-RC-E1</t>
        </is>
      </c>
      <c r="B2" s="2" t="inlineStr">
        <is>
          <t>RC</t>
        </is>
      </c>
      <c r="C2" s="2" t="inlineStr">
        <is>
          <t>lateral_E</t>
        </is>
      </c>
      <c r="D2" s="2" t="n">
        <v>1.2</v>
      </c>
      <c r="E2" s="2" t="inlineStr">
        <is>
          <t>0,20 × 0,30</t>
        </is>
      </c>
      <c r="F2" s="2" t="n">
        <v>8.73</v>
      </c>
      <c r="G2" s="2" t="n">
        <v>29.09</v>
      </c>
      <c r="H2" s="2" t="inlineStr">
        <is>
          <t>2Ø10</t>
        </is>
      </c>
      <c r="I2" s="2" t="inlineStr">
        <is>
          <t>2Ø10</t>
        </is>
      </c>
      <c r="J2" s="2" t="inlineStr">
        <is>
          <t>estribos Ø8//0,10</t>
        </is>
      </c>
    </row>
    <row r="3">
      <c r="A3" s="2" t="inlineStr">
        <is>
          <t>L-A1-E1</t>
        </is>
      </c>
      <c r="B3" s="2" t="inlineStr">
        <is>
          <t>A1</t>
        </is>
      </c>
      <c r="C3" s="2" t="inlineStr">
        <is>
          <t>lateral_E</t>
        </is>
      </c>
      <c r="D3" s="2" t="n">
        <v>1.2</v>
      </c>
      <c r="E3" s="2" t="inlineStr">
        <is>
          <t>0,20 × 0,30</t>
        </is>
      </c>
      <c r="F3" s="2" t="n">
        <v>1.1</v>
      </c>
      <c r="G3" s="2" t="n">
        <v>3.67</v>
      </c>
      <c r="H3" s="2" t="inlineStr">
        <is>
          <t>2Ø10</t>
        </is>
      </c>
      <c r="I3" s="2" t="inlineStr">
        <is>
          <t>2Ø10</t>
        </is>
      </c>
      <c r="J3" s="2" t="inlineStr">
        <is>
          <t>estribos Ø6//0,15</t>
        </is>
      </c>
    </row>
    <row r="4">
      <c r="A4" s="2" t="inlineStr">
        <is>
          <t>L-RC-D1</t>
        </is>
      </c>
      <c r="B4" s="2" t="inlineStr">
        <is>
          <t>RC</t>
        </is>
      </c>
      <c r="C4" s="2" t="inlineStr">
        <is>
          <t>lateral_D</t>
        </is>
      </c>
      <c r="D4" s="2" t="n">
        <v>0.8</v>
      </c>
      <c r="E4" s="2" t="inlineStr">
        <is>
          <t>0,20 × 0,30</t>
        </is>
      </c>
      <c r="F4" s="2" t="n">
        <v>3.94</v>
      </c>
      <c r="G4" s="2" t="n">
        <v>19.68</v>
      </c>
      <c r="H4" s="2" t="inlineStr">
        <is>
          <t>2Ø10</t>
        </is>
      </c>
      <c r="I4" s="2" t="inlineStr">
        <is>
          <t>2Ø10</t>
        </is>
      </c>
      <c r="J4" s="2" t="inlineStr">
        <is>
          <t>estribos Ø6//0,15</t>
        </is>
      </c>
    </row>
    <row r="5">
      <c r="A5" s="2" t="inlineStr">
        <is>
          <t>L-A1-D1</t>
        </is>
      </c>
      <c r="B5" s="2" t="inlineStr">
        <is>
          <t>A1</t>
        </is>
      </c>
      <c r="C5" s="2" t="inlineStr">
        <is>
          <t>lateral_D</t>
        </is>
      </c>
      <c r="D5" s="2" t="n">
        <v>1.1</v>
      </c>
      <c r="E5" s="2" t="inlineStr">
        <is>
          <t>0,20 × 0,30</t>
        </is>
      </c>
      <c r="F5" s="2" t="n">
        <v>0.92</v>
      </c>
      <c r="G5" s="2" t="n">
        <v>3.36</v>
      </c>
      <c r="H5" s="2" t="inlineStr">
        <is>
          <t>2Ø10</t>
        </is>
      </c>
      <c r="I5" s="2" t="inlineStr">
        <is>
          <t>2Ø10</t>
        </is>
      </c>
      <c r="J5" s="2" t="inlineStr">
        <is>
          <t>estribos Ø6//0,15</t>
        </is>
      </c>
    </row>
    <row r="6">
      <c r="A6" s="2" t="inlineStr">
        <is>
          <t>L-RC-T1</t>
        </is>
      </c>
      <c r="B6" s="2" t="inlineStr">
        <is>
          <t>RC</t>
        </is>
      </c>
      <c r="C6" s="2" t="inlineStr">
        <is>
          <t>tardoz</t>
        </is>
      </c>
      <c r="D6" s="2" t="n">
        <v>3.2</v>
      </c>
      <c r="E6" s="2" t="inlineStr">
        <is>
          <t>0,20 × 0,35</t>
        </is>
      </c>
      <c r="F6" s="2" t="n">
        <v>20.65</v>
      </c>
      <c r="G6" s="2" t="n">
        <v>25.81</v>
      </c>
      <c r="H6" s="2" t="inlineStr">
        <is>
          <t>3Ø10</t>
        </is>
      </c>
      <c r="I6" s="2" t="inlineStr">
        <is>
          <t>2Ø10</t>
        </is>
      </c>
      <c r="J6" s="2" t="inlineStr">
        <is>
          <t>estribos Ø6//0,15</t>
        </is>
      </c>
    </row>
    <row r="7">
      <c r="A7" s="2" t="inlineStr">
        <is>
          <t>L-RC-T2</t>
        </is>
      </c>
      <c r="B7" s="2" t="inlineStr">
        <is>
          <t>RC</t>
        </is>
      </c>
      <c r="C7" s="2" t="inlineStr">
        <is>
          <t>tardoz</t>
        </is>
      </c>
      <c r="D7" s="2" t="n">
        <v>1.6</v>
      </c>
      <c r="E7" s="2" t="inlineStr">
        <is>
          <t>0,20 × 0,20</t>
        </is>
      </c>
      <c r="F7" s="2" t="n">
        <v>4.45</v>
      </c>
      <c r="G7" s="2" t="n">
        <v>11.12</v>
      </c>
      <c r="H7" s="2" t="inlineStr">
        <is>
          <t>2Ø10</t>
        </is>
      </c>
      <c r="I7" s="2" t="inlineStr">
        <is>
          <t>2Ø10</t>
        </is>
      </c>
      <c r="J7" s="2" t="inlineStr">
        <is>
          <t>estribos Ø6//0,15</t>
        </is>
      </c>
    </row>
    <row r="8">
      <c r="A8" s="2" t="inlineStr">
        <is>
          <t>L-A1-T1</t>
        </is>
      </c>
      <c r="B8" s="2" t="inlineStr">
        <is>
          <t>A1</t>
        </is>
      </c>
      <c r="C8" s="2" t="inlineStr">
        <is>
          <t>tardoz</t>
        </is>
      </c>
      <c r="D8" s="2" t="n">
        <v>1.6</v>
      </c>
      <c r="E8" s="2" t="inlineStr">
        <is>
          <t>0,20 × 0,20</t>
        </is>
      </c>
      <c r="F8" s="2" t="n">
        <v>1.74</v>
      </c>
      <c r="G8" s="2" t="n">
        <v>4.35</v>
      </c>
      <c r="H8" s="2" t="inlineStr">
        <is>
          <t>2Ø10</t>
        </is>
      </c>
      <c r="I8" s="2" t="inlineStr">
        <is>
          <t>2Ø10</t>
        </is>
      </c>
      <c r="J8" s="2" t="inlineStr">
        <is>
          <t>estribos Ø6//0,15</t>
        </is>
      </c>
    </row>
    <row r="9">
      <c r="A9" s="2" t="inlineStr">
        <is>
          <t>L-A1-T2</t>
        </is>
      </c>
      <c r="B9" s="2" t="inlineStr">
        <is>
          <t>A1</t>
        </is>
      </c>
      <c r="C9" s="2" t="inlineStr">
        <is>
          <t>tardoz</t>
        </is>
      </c>
      <c r="D9" s="2" t="n">
        <v>1.6</v>
      </c>
      <c r="E9" s="2" t="inlineStr">
        <is>
          <t>0,20 × 0,20</t>
        </is>
      </c>
      <c r="F9" s="2" t="n">
        <v>1.74</v>
      </c>
      <c r="G9" s="2" t="n">
        <v>4.35</v>
      </c>
      <c r="H9" s="2" t="inlineStr">
        <is>
          <t>2Ø10</t>
        </is>
      </c>
      <c r="I9" s="2" t="inlineStr">
        <is>
          <t>2Ø10</t>
        </is>
      </c>
      <c r="J9" s="2" t="inlineStr">
        <is>
          <t>estribos Ø6//0,15</t>
        </is>
      </c>
    </row>
    <row r="10">
      <c r="A10" s="2" t="inlineStr">
        <is>
          <t>L-RC-P1</t>
        </is>
      </c>
      <c r="B10" s="2" t="inlineStr">
        <is>
          <t>RC</t>
        </is>
      </c>
      <c r="C10" s="2" t="inlineStr">
        <is>
          <t>principal</t>
        </is>
      </c>
      <c r="D10" s="2" t="n">
        <v>1.6</v>
      </c>
      <c r="E10" s="2" t="inlineStr">
        <is>
          <t>0,20 × 0,20</t>
        </is>
      </c>
      <c r="F10" s="2" t="n">
        <v>4.45</v>
      </c>
      <c r="G10" s="2" t="n">
        <v>11.12</v>
      </c>
      <c r="H10" s="2" t="inlineStr">
        <is>
          <t>2Ø10</t>
        </is>
      </c>
      <c r="I10" s="2" t="inlineStr">
        <is>
          <t>2Ø10</t>
        </is>
      </c>
      <c r="J10" s="2" t="inlineStr">
        <is>
          <t>estribos Ø6//0,15</t>
        </is>
      </c>
    </row>
    <row r="11">
      <c r="A11" s="2" t="inlineStr">
        <is>
          <t>L-RC-P2</t>
        </is>
      </c>
      <c r="B11" s="2" t="inlineStr">
        <is>
          <t>RC</t>
        </is>
      </c>
      <c r="C11" s="2" t="inlineStr">
        <is>
          <t>principal</t>
        </is>
      </c>
      <c r="D11" s="2" t="n">
        <v>1.2</v>
      </c>
      <c r="E11" s="2" t="inlineStr">
        <is>
          <t>0,20 × 0,20</t>
        </is>
      </c>
      <c r="F11" s="2" t="n">
        <v>2.99</v>
      </c>
      <c r="G11" s="2" t="n">
        <v>9.970000000000001</v>
      </c>
      <c r="H11" s="2" t="inlineStr">
        <is>
          <t>2Ø10</t>
        </is>
      </c>
      <c r="I11" s="2" t="inlineStr">
        <is>
          <t>2Ø10</t>
        </is>
      </c>
      <c r="J11" s="2" t="inlineStr">
        <is>
          <t>estribos Ø6//0,15</t>
        </is>
      </c>
    </row>
    <row r="12">
      <c r="A12" s="2" t="inlineStr">
        <is>
          <t>L-A1-P1</t>
        </is>
      </c>
      <c r="B12" s="2" t="inlineStr">
        <is>
          <t>A1</t>
        </is>
      </c>
      <c r="C12" s="2" t="inlineStr">
        <is>
          <t>principal</t>
        </is>
      </c>
      <c r="D12" s="2" t="n">
        <v>1.6</v>
      </c>
      <c r="E12" s="2" t="inlineStr">
        <is>
          <t>0,20 × 0,20</t>
        </is>
      </c>
      <c r="F12" s="2" t="n">
        <v>1.74</v>
      </c>
      <c r="G12" s="2" t="n">
        <v>4.35</v>
      </c>
      <c r="H12" s="2" t="inlineStr">
        <is>
          <t>2Ø10</t>
        </is>
      </c>
      <c r="I12" s="2" t="inlineStr">
        <is>
          <t>2Ø10</t>
        </is>
      </c>
      <c r="J12" s="2" t="inlineStr">
        <is>
          <t>estribos Ø6//0,15</t>
        </is>
      </c>
    </row>
    <row r="13">
      <c r="A13" s="2" t="inlineStr">
        <is>
          <t>L-A1-P2</t>
        </is>
      </c>
      <c r="B13" s="2" t="inlineStr">
        <is>
          <t>A1</t>
        </is>
      </c>
      <c r="C13" s="2" t="inlineStr">
        <is>
          <t>principal</t>
        </is>
      </c>
      <c r="D13" s="2" t="n">
        <v>1.6</v>
      </c>
      <c r="E13" s="2" t="inlineStr">
        <is>
          <t>0,20 × 0,20</t>
        </is>
      </c>
      <c r="F13" s="2" t="n">
        <v>1.74</v>
      </c>
      <c r="G13" s="2" t="n">
        <v>4.35</v>
      </c>
      <c r="H13" s="2" t="inlineStr">
        <is>
          <t>2Ø10</t>
        </is>
      </c>
      <c r="I13" s="2" t="inlineStr">
        <is>
          <t>2Ø10</t>
        </is>
      </c>
      <c r="J13" s="2" t="inlineStr">
        <is>
          <t>estribos Ø6//0,15</t>
        </is>
      </c>
    </row>
    <row r="14"/>
    <row r="15">
      <c r="A15" s="16" t="inlineStr">
        <is>
          <t>Pilar</t>
        </is>
      </c>
      <c r="B15" s="16" t="inlineStr">
        <is>
          <t>Piso</t>
        </is>
      </c>
      <c r="C15" s="16" t="inlineStr">
        <is>
          <t>Alçado</t>
        </is>
      </c>
      <c r="D15" s="16" t="inlineStr">
        <is>
          <t>Altura</t>
        </is>
      </c>
      <c r="E15" s="16" t="inlineStr">
        <is>
          <t>Secção</t>
        </is>
      </c>
      <c r="F15" s="16" t="inlineStr">
        <is>
          <t>N_Ed (kN)</t>
        </is>
      </c>
      <c r="G15" s="16" t="inlineStr">
        <is>
          <t>N_Rd (kN)</t>
        </is>
      </c>
      <c r="H15" s="16" t="inlineStr">
        <is>
          <t>Armaduras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14" customWidth="1" min="3" max="3"/>
    <col width="14" customWidth="1" min="4" max="4"/>
    <col width="8" customWidth="1" min="5" max="5"/>
    <col width="12" customWidth="1" min="6" max="6"/>
  </cols>
  <sheetData>
    <row r="1">
      <c r="A1" s="16" t="inlineStr">
        <is>
          <t>Piso</t>
        </is>
      </c>
      <c r="B1" s="16" t="inlineStr">
        <is>
          <t>Circuito</t>
        </is>
      </c>
      <c r="C1" s="16" t="inlineStr">
        <is>
          <t>Disjuntor (A)</t>
        </is>
      </c>
      <c r="D1" s="16" t="inlineStr">
        <is>
          <t>Secção (mm²)</t>
        </is>
      </c>
      <c r="E1" s="16" t="inlineStr">
        <is>
          <t>Pontos</t>
        </is>
      </c>
      <c r="F1" s="16" t="inlineStr">
        <is>
          <t>Diferencial</t>
        </is>
      </c>
    </row>
    <row r="2">
      <c r="A2" s="2" t="inlineStr">
        <is>
          <t>RC</t>
        </is>
      </c>
      <c r="B2" s="2" t="inlineStr">
        <is>
          <t>Placa de cozinha (Cozinha)</t>
        </is>
      </c>
      <c r="C2" s="2" t="n">
        <v>32</v>
      </c>
      <c r="D2" s="2" t="n">
        <v>6</v>
      </c>
      <c r="E2" s="2" t="n">
        <v>1</v>
      </c>
      <c r="F2" s="2" t="inlineStr">
        <is>
          <t>ID1</t>
        </is>
      </c>
    </row>
    <row r="3">
      <c r="A3" s="2" t="inlineStr">
        <is>
          <t>RC</t>
        </is>
      </c>
      <c r="B3" s="2" t="inlineStr">
        <is>
          <t>Forno (Cozinha)</t>
        </is>
      </c>
      <c r="C3" s="2" t="n">
        <v>20</v>
      </c>
      <c r="D3" s="2" t="n">
        <v>2.5</v>
      </c>
      <c r="E3" s="2" t="n">
        <v>1</v>
      </c>
      <c r="F3" s="2" t="inlineStr">
        <is>
          <t>ID2</t>
        </is>
      </c>
    </row>
    <row r="4">
      <c r="A4" s="2" t="inlineStr">
        <is>
          <t>RC</t>
        </is>
      </c>
      <c r="B4" s="2" t="inlineStr">
        <is>
          <t>Máquina de lavar loiça (Cozinha)</t>
        </is>
      </c>
      <c r="C4" s="2" t="n">
        <v>20</v>
      </c>
      <c r="D4" s="2" t="n">
        <v>2.5</v>
      </c>
      <c r="E4" s="2" t="n">
        <v>1</v>
      </c>
      <c r="F4" s="2" t="inlineStr">
        <is>
          <t>ID1</t>
        </is>
      </c>
    </row>
    <row r="5">
      <c r="A5" s="2" t="inlineStr">
        <is>
          <t>RC</t>
        </is>
      </c>
      <c r="B5" s="2" t="inlineStr">
        <is>
          <t>Bomba de calor AQS 200 L (Arrumos / zona técnica)</t>
        </is>
      </c>
      <c r="C5" s="2" t="n">
        <v>20</v>
      </c>
      <c r="D5" s="2" t="n">
        <v>2.5</v>
      </c>
      <c r="E5" s="2" t="n">
        <v>1</v>
      </c>
      <c r="F5" s="2" t="inlineStr">
        <is>
          <t>ID3</t>
        </is>
      </c>
    </row>
    <row r="6">
      <c r="A6" s="2" t="inlineStr">
        <is>
          <t>RC</t>
        </is>
      </c>
      <c r="B6" s="2" t="inlineStr">
        <is>
          <t>VMC higrorregulável (Arrumos / zona técnica)</t>
        </is>
      </c>
      <c r="C6" s="2" t="n">
        <v>2</v>
      </c>
      <c r="D6" s="2" t="n">
        <v>1.5</v>
      </c>
      <c r="E6" s="2" t="n">
        <v>1</v>
      </c>
      <c r="F6" s="2" t="inlineStr">
        <is>
          <t>ID4</t>
        </is>
      </c>
    </row>
    <row r="7">
      <c r="A7" s="2" t="inlineStr">
        <is>
          <t>RC</t>
        </is>
      </c>
      <c r="B7" s="2" t="inlineStr">
        <is>
          <t>PAC air/eau (Arrumos / zona técnica)</t>
        </is>
      </c>
      <c r="C7" s="2" t="n">
        <v>32</v>
      </c>
      <c r="D7" s="2" t="n">
        <v>6</v>
      </c>
      <c r="E7" s="2" t="n">
        <v>1</v>
      </c>
      <c r="F7" s="2" t="inlineStr">
        <is>
          <t>ID2</t>
        </is>
      </c>
    </row>
    <row r="8">
      <c r="A8" s="2" t="inlineStr">
        <is>
          <t>RC</t>
        </is>
      </c>
      <c r="B8" s="2" t="inlineStr">
        <is>
          <t>Tomadas Rés-do-chão n.º 1</t>
        </is>
      </c>
      <c r="C8" s="2" t="n">
        <v>20</v>
      </c>
      <c r="D8" s="2" t="n">
        <v>2.5</v>
      </c>
      <c r="E8" s="2" t="n">
        <v>12</v>
      </c>
      <c r="F8" s="2" t="inlineStr">
        <is>
          <t>ID3</t>
        </is>
      </c>
    </row>
    <row r="9">
      <c r="A9" s="2" t="inlineStr">
        <is>
          <t>RC</t>
        </is>
      </c>
      <c r="B9" s="2" t="inlineStr">
        <is>
          <t>Tomadas Rés-do-chão n.º 2</t>
        </is>
      </c>
      <c r="C9" s="2" t="n">
        <v>20</v>
      </c>
      <c r="D9" s="2" t="n">
        <v>2.5</v>
      </c>
      <c r="E9" s="2" t="n">
        <v>4</v>
      </c>
      <c r="F9" s="2" t="inlineStr">
        <is>
          <t>ID4</t>
        </is>
      </c>
    </row>
    <row r="10">
      <c r="A10" s="2" t="inlineStr">
        <is>
          <t>RC</t>
        </is>
      </c>
      <c r="B10" s="2" t="inlineStr">
        <is>
          <t>Iluminação Rés-do-chão n.º 1</t>
        </is>
      </c>
      <c r="C10" s="2" t="n">
        <v>16</v>
      </c>
      <c r="D10" s="2" t="n">
        <v>1.5</v>
      </c>
      <c r="E10" s="2" t="n">
        <v>6</v>
      </c>
      <c r="F10" s="2" t="inlineStr">
        <is>
          <t>ID1</t>
        </is>
      </c>
    </row>
    <row r="11">
      <c r="A11" s="2" t="inlineStr">
        <is>
          <t>RC</t>
        </is>
      </c>
      <c r="B11" s="2" t="inlineStr">
        <is>
          <t>Estores elétricos Rés-do-chão</t>
        </is>
      </c>
      <c r="C11" s="2" t="n">
        <v>16</v>
      </c>
      <c r="D11" s="2" t="n">
        <v>1.5</v>
      </c>
      <c r="E11" s="2" t="n">
        <v>6</v>
      </c>
      <c r="F11" s="2" t="inlineStr">
        <is>
          <t>ID2</t>
        </is>
      </c>
    </row>
    <row r="12">
      <c r="A12" s="2" t="inlineStr">
        <is>
          <t>A1</t>
        </is>
      </c>
      <c r="B12" s="2" t="inlineStr">
        <is>
          <t>Toalheiro elétrico (Casa de banho)</t>
        </is>
      </c>
      <c r="C12" s="2" t="n">
        <v>16</v>
      </c>
      <c r="D12" s="2" t="n">
        <v>1.5</v>
      </c>
      <c r="E12" s="2" t="n">
        <v>1</v>
      </c>
      <c r="F12" s="2" t="inlineStr">
        <is>
          <t>ID3</t>
        </is>
      </c>
    </row>
    <row r="13">
      <c r="A13" s="2" t="inlineStr">
        <is>
          <t>A1</t>
        </is>
      </c>
      <c r="B13" s="2" t="inlineStr">
        <is>
          <t>Tomadas 1.º andar n.º 1</t>
        </is>
      </c>
      <c r="C13" s="2" t="n">
        <v>20</v>
      </c>
      <c r="D13" s="2" t="n">
        <v>2.5</v>
      </c>
      <c r="E13" s="2" t="n">
        <v>12</v>
      </c>
      <c r="F13" s="2" t="inlineStr">
        <is>
          <t>ID4</t>
        </is>
      </c>
    </row>
    <row r="14">
      <c r="A14" s="2" t="inlineStr">
        <is>
          <t>A1</t>
        </is>
      </c>
      <c r="B14" s="2" t="inlineStr">
        <is>
          <t>Tomadas 1.º andar n.º 2</t>
        </is>
      </c>
      <c r="C14" s="2" t="n">
        <v>20</v>
      </c>
      <c r="D14" s="2" t="n">
        <v>2.5</v>
      </c>
      <c r="E14" s="2" t="n">
        <v>3</v>
      </c>
      <c r="F14" s="2" t="inlineStr">
        <is>
          <t>ID1</t>
        </is>
      </c>
    </row>
    <row r="15">
      <c r="A15" s="2" t="inlineStr">
        <is>
          <t>A1</t>
        </is>
      </c>
      <c r="B15" s="2" t="inlineStr">
        <is>
          <t>Iluminação 1.º andar n.º 1</t>
        </is>
      </c>
      <c r="C15" s="2" t="n">
        <v>16</v>
      </c>
      <c r="D15" s="2" t="n">
        <v>1.5</v>
      </c>
      <c r="E15" s="2" t="n">
        <v>8</v>
      </c>
      <c r="F15" s="2" t="inlineStr">
        <is>
          <t>ID2</t>
        </is>
      </c>
    </row>
    <row r="16">
      <c r="A16" s="2" t="inlineStr">
        <is>
          <t>A1</t>
        </is>
      </c>
      <c r="B16" s="2" t="inlineStr">
        <is>
          <t>Estores elétricos 1.º andar</t>
        </is>
      </c>
      <c r="C16" s="2" t="n">
        <v>16</v>
      </c>
      <c r="D16" s="2" t="n">
        <v>1.5</v>
      </c>
      <c r="E16" s="2" t="n">
        <v>6</v>
      </c>
      <c r="F16" s="2" t="inlineStr">
        <is>
          <t>ID3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8" customWidth="1" min="3" max="3"/>
    <col width="20" customWidth="1" min="4" max="4"/>
    <col width="6" customWidth="1" min="5" max="5"/>
    <col width="14" customWidth="1" min="6" max="6"/>
    <col width="8" customWidth="1" min="7" max="7"/>
    <col width="16" customWidth="1" min="8" max="8"/>
  </cols>
  <sheetData>
    <row r="1">
      <c r="A1" s="16" t="inlineStr">
        <is>
          <t>Piso</t>
        </is>
      </c>
      <c r="B1" s="16" t="inlineStr">
        <is>
          <t>Compartimento</t>
        </is>
      </c>
      <c r="C1" s="16" t="inlineStr">
        <is>
          <t>Aparelho</t>
        </is>
      </c>
      <c r="D1" s="16" t="inlineStr">
        <is>
          <t>Alimentação</t>
        </is>
      </c>
      <c r="E1" s="16" t="inlineStr">
        <is>
          <t>AQS</t>
        </is>
      </c>
      <c r="F1" s="16" t="inlineStr">
        <is>
          <t>Esgoto</t>
        </is>
      </c>
      <c r="G1" s="16" t="inlineStr">
        <is>
          <t>Tubo de queda</t>
        </is>
      </c>
      <c r="H1" s="16" t="inlineStr">
        <is>
          <t>Comprimento do ramal (m)</t>
        </is>
      </c>
    </row>
    <row r="2">
      <c r="A2" s="2" t="inlineStr">
        <is>
          <t>RC</t>
        </is>
      </c>
      <c r="B2" s="2" t="inlineStr">
        <is>
          <t>Cozinha</t>
        </is>
      </c>
      <c r="C2" s="2" t="inlineStr">
        <is>
          <t>Lava-loiça</t>
        </is>
      </c>
      <c r="D2" s="2" t="inlineStr">
        <is>
          <t>multicamada 16 × 2</t>
        </is>
      </c>
      <c r="E2" s="2" t="inlineStr">
        <is>
          <t>sim</t>
        </is>
      </c>
      <c r="F2" s="2" t="inlineStr">
        <is>
          <t>PVC Ø40</t>
        </is>
      </c>
      <c r="G2" s="2" t="inlineStr">
        <is>
          <t>CH2</t>
        </is>
      </c>
      <c r="H2" s="2" t="n">
        <v>5.2</v>
      </c>
    </row>
    <row r="3">
      <c r="A3" s="2" t="inlineStr">
        <is>
          <t>RC</t>
        </is>
      </c>
      <c r="B3" s="2" t="inlineStr">
        <is>
          <t>Cozinha</t>
        </is>
      </c>
      <c r="C3" s="2" t="inlineStr">
        <is>
          <t>Máquina de lavar loiça</t>
        </is>
      </c>
      <c r="D3" s="2" t="inlineStr">
        <is>
          <t>multicamada 16 × 2</t>
        </is>
      </c>
      <c r="E3" s="2" t="inlineStr">
        <is>
          <t>não</t>
        </is>
      </c>
      <c r="F3" s="2" t="inlineStr">
        <is>
          <t>PVC Ø40</t>
        </is>
      </c>
      <c r="G3" s="2" t="inlineStr">
        <is>
          <t>CH2</t>
        </is>
      </c>
      <c r="H3" s="2" t="n">
        <v>4.2</v>
      </c>
    </row>
    <row r="4">
      <c r="A4" s="2" t="inlineStr">
        <is>
          <t>RC</t>
        </is>
      </c>
      <c r="B4" s="2" t="inlineStr">
        <is>
          <t>Cozinha</t>
        </is>
      </c>
      <c r="C4" s="2" t="inlineStr">
        <is>
          <t>Máquina de lavar roupa</t>
        </is>
      </c>
      <c r="D4" s="2" t="inlineStr">
        <is>
          <t>multicamada 16 × 2</t>
        </is>
      </c>
      <c r="E4" s="2" t="inlineStr">
        <is>
          <t>não</t>
        </is>
      </c>
      <c r="F4" s="2" t="inlineStr">
        <is>
          <t>PVC Ø40</t>
        </is>
      </c>
      <c r="G4" s="2" t="inlineStr">
        <is>
          <t>CH2</t>
        </is>
      </c>
      <c r="H4" s="2" t="n">
        <v>3.5</v>
      </c>
    </row>
    <row r="5">
      <c r="A5" s="2" t="inlineStr">
        <is>
          <t>RC</t>
        </is>
      </c>
      <c r="B5" s="2" t="inlineStr">
        <is>
          <t>IS social</t>
        </is>
      </c>
      <c r="C5" s="2" t="inlineStr">
        <is>
          <t>WC</t>
        </is>
      </c>
      <c r="D5" s="2" t="inlineStr">
        <is>
          <t>multicamada 16 × 2</t>
        </is>
      </c>
      <c r="E5" s="2" t="inlineStr">
        <is>
          <t>não</t>
        </is>
      </c>
      <c r="F5" s="2" t="inlineStr">
        <is>
          <t>PVC Ø100</t>
        </is>
      </c>
      <c r="G5" s="2" t="inlineStr">
        <is>
          <t>CH1</t>
        </is>
      </c>
      <c r="H5" s="2" t="n">
        <v>0.33</v>
      </c>
    </row>
    <row r="6">
      <c r="A6" s="2" t="inlineStr">
        <is>
          <t>RC</t>
        </is>
      </c>
      <c r="B6" s="2" t="inlineStr">
        <is>
          <t>IS social</t>
        </is>
      </c>
      <c r="C6" s="2" t="inlineStr">
        <is>
          <t>Lavatório pequeno</t>
        </is>
      </c>
      <c r="D6" s="2" t="inlineStr">
        <is>
          <t>multicamada 16 × 2</t>
        </is>
      </c>
      <c r="E6" s="2" t="inlineStr">
        <is>
          <t>não</t>
        </is>
      </c>
      <c r="F6" s="2" t="inlineStr">
        <is>
          <t>PVC Ø32</t>
        </is>
      </c>
      <c r="G6" s="2" t="inlineStr">
        <is>
          <t>CH1</t>
        </is>
      </c>
      <c r="H6" s="2" t="n">
        <v>0.35</v>
      </c>
    </row>
    <row r="7">
      <c r="A7" s="2" t="inlineStr">
        <is>
          <t>A1</t>
        </is>
      </c>
      <c r="B7" s="2" t="inlineStr">
        <is>
          <t>Casa de banho</t>
        </is>
      </c>
      <c r="C7" s="2" t="inlineStr">
        <is>
          <t>WC</t>
        </is>
      </c>
      <c r="D7" s="2" t="inlineStr">
        <is>
          <t>multicamada 16 × 2</t>
        </is>
      </c>
      <c r="E7" s="2" t="inlineStr">
        <is>
          <t>não</t>
        </is>
      </c>
      <c r="F7" s="2" t="inlineStr">
        <is>
          <t>PVC Ø100</t>
        </is>
      </c>
      <c r="G7" s="2" t="inlineStr">
        <is>
          <t>CH1</t>
        </is>
      </c>
      <c r="H7" s="2" t="n">
        <v>1.12</v>
      </c>
    </row>
    <row r="8">
      <c r="A8" s="2" t="inlineStr">
        <is>
          <t>A1</t>
        </is>
      </c>
      <c r="B8" s="2" t="inlineStr">
        <is>
          <t>Casa de banho</t>
        </is>
      </c>
      <c r="C8" s="2" t="inlineStr">
        <is>
          <t>Lavatório</t>
        </is>
      </c>
      <c r="D8" s="2" t="inlineStr">
        <is>
          <t>multicamada 16 × 2</t>
        </is>
      </c>
      <c r="E8" s="2" t="inlineStr">
        <is>
          <t>sim</t>
        </is>
      </c>
      <c r="F8" s="2" t="inlineStr">
        <is>
          <t>PVC Ø32</t>
        </is>
      </c>
      <c r="G8" s="2" t="inlineStr">
        <is>
          <t>CH1</t>
        </is>
      </c>
      <c r="H8" s="2" t="n">
        <v>0.42</v>
      </c>
    </row>
    <row r="9">
      <c r="A9" s="2" t="inlineStr">
        <is>
          <t>A1</t>
        </is>
      </c>
      <c r="B9" s="2" t="inlineStr">
        <is>
          <t>Casa de banho</t>
        </is>
      </c>
      <c r="C9" s="2" t="inlineStr">
        <is>
          <t>Banheira</t>
        </is>
      </c>
      <c r="D9" s="2" t="inlineStr">
        <is>
          <t>multicamada 20 × 2</t>
        </is>
      </c>
      <c r="E9" s="2" t="inlineStr">
        <is>
          <t>sim</t>
        </is>
      </c>
      <c r="F9" s="2" t="inlineStr">
        <is>
          <t>PVC Ø40</t>
        </is>
      </c>
      <c r="G9" s="2" t="inlineStr">
        <is>
          <t>CH1</t>
        </is>
      </c>
      <c r="H9" s="2" t="n">
        <v>1.92</v>
      </c>
    </row>
    <row r="10">
      <c r="A10" s="2" t="inlineStr">
        <is>
          <t>RC</t>
        </is>
      </c>
      <c r="B10" s="2" t="inlineStr">
        <is>
          <t>Alçado posterior</t>
        </is>
      </c>
      <c r="C10" s="2" t="inlineStr">
        <is>
          <t>Torneira de rega exterior</t>
        </is>
      </c>
      <c r="D10" s="2" t="inlineStr">
        <is>
          <t>multicamada 20 × 2</t>
        </is>
      </c>
      <c r="E10" s="2" t="inlineStr">
        <is>
          <t>não</t>
        </is>
      </c>
      <c r="F10" s="2" t="inlineStr">
        <is>
          <t>—</t>
        </is>
      </c>
      <c r="G10" s="2" t="inlineStr">
        <is>
          <t>—</t>
        </is>
      </c>
      <c r="H10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2026-10-24T21:21:02Z</dcterms:created>
  <dcterms:modified xmlns:dcterms="http://purl.org/dc/terms/" xmlns:xsi="http://www.w3.org/2001/XMLSchema-instance" xsi:type="dcterms:W3CDTF">2026-10-24T21:21:02Z</dcterms:modified>
</cp:coreProperties>
</file>